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nio" sheetId="1" r:id="rId4"/>
    <sheet state="visible" name="Julio" sheetId="2" r:id="rId5"/>
    <sheet state="visible" name="Agosto" sheetId="3" r:id="rId6"/>
  </sheets>
  <definedNames/>
  <calcPr/>
  <extLst>
    <ext uri="GoogleSheetsCustomDataVersion2">
      <go:sheetsCustomData xmlns:go="http://customooxmlschemas.google.com/" r:id="rId7" roundtripDataChecksum="NlCisGAKmZR5/zUrTR25dOyCZJ/5NYZ3qlruX2z8ipI="/>
    </ext>
  </extLst>
</workbook>
</file>

<file path=xl/sharedStrings.xml><?xml version="1.0" encoding="utf-8"?>
<sst xmlns="http://schemas.openxmlformats.org/spreadsheetml/2006/main" count="2968" uniqueCount="393">
  <si>
    <t>Valor Dólar</t>
  </si>
  <si>
    <t>NOMBRE</t>
  </si>
  <si>
    <t>TOTAL MES</t>
  </si>
  <si>
    <t>Inversión USD</t>
  </si>
  <si>
    <t>Inversion PC</t>
  </si>
  <si>
    <t>Conversaciones</t>
  </si>
  <si>
    <t>Costo Conversación</t>
  </si>
  <si>
    <t>Ventas Totales</t>
  </si>
  <si>
    <t>$ 14,79</t>
  </si>
  <si>
    <t>Inversion Venta</t>
  </si>
  <si>
    <t>$ 13,79</t>
  </si>
  <si>
    <t>$ 11,84</t>
  </si>
  <si>
    <t>$ 12,86</t>
  </si>
  <si>
    <t>$ 14,58</t>
  </si>
  <si>
    <t>$ 14,25</t>
  </si>
  <si>
    <t>$ 15,92</t>
  </si>
  <si>
    <t>$ 12,43</t>
  </si>
  <si>
    <t>$ 13,30</t>
  </si>
  <si>
    <t>ROAS</t>
  </si>
  <si>
    <t>$ 53.244</t>
  </si>
  <si>
    <t>$ 49.644</t>
  </si>
  <si>
    <t>$ 42.624</t>
  </si>
  <si>
    <t>Ticket Promedio</t>
  </si>
  <si>
    <t>$ 46.296</t>
  </si>
  <si>
    <t>$ 52.488</t>
  </si>
  <si>
    <t>$ 51.300</t>
  </si>
  <si>
    <t>$ 57.312</t>
  </si>
  <si>
    <t>$ 44.748</t>
  </si>
  <si>
    <t>$ 47.880</t>
  </si>
  <si>
    <t>Ticket Conversión</t>
  </si>
  <si>
    <t>GASTOS PUBLICITARIOS 23 JUNIO</t>
  </si>
  <si>
    <t>$ 2.420</t>
  </si>
  <si>
    <t>$ 2.069</t>
  </si>
  <si>
    <t>$ 2.507</t>
  </si>
  <si>
    <t>$ 2.205</t>
  </si>
  <si>
    <t>$ 2.386</t>
  </si>
  <si>
    <t>Inicio del informe</t>
  </si>
  <si>
    <t>$ 2.700</t>
  </si>
  <si>
    <t>$ 2.605</t>
  </si>
  <si>
    <t>Fin del informe</t>
  </si>
  <si>
    <t>$ 1.657</t>
  </si>
  <si>
    <t>$ 4.353</t>
  </si>
  <si>
    <t>Nombre de la campaña</t>
  </si>
  <si>
    <t>Resultados</t>
  </si>
  <si>
    <t>Coste por resultados</t>
  </si>
  <si>
    <t>Importe gastado (USD)</t>
  </si>
  <si>
    <t>Impresiones</t>
  </si>
  <si>
    <t>Alcance</t>
  </si>
  <si>
    <t>Contactos de mensajes</t>
  </si>
  <si>
    <t>2026-06-23</t>
  </si>
  <si>
    <t>NC / Mariposas, Aves Valle del Cauca / WP</t>
  </si>
  <si>
    <t>$ 373.400</t>
  </si>
  <si>
    <t>$ 293.200</t>
  </si>
  <si>
    <t>$ 399.600</t>
  </si>
  <si>
    <t>$ -</t>
  </si>
  <si>
    <t>$ 219.800</t>
  </si>
  <si>
    <t>WA / Aves de Colombia – Juliana 190626</t>
  </si>
  <si>
    <t>$ 249.800</t>
  </si>
  <si>
    <t>$ 978.000</t>
  </si>
  <si>
    <t>WA / Aves más Hermosas – Juliana 190626</t>
  </si>
  <si>
    <t>#DIV/0!</t>
  </si>
  <si>
    <t>WA / Aves Silvestres – Juliana 190626</t>
  </si>
  <si>
    <t>AGENCIA JK - AGOSTO</t>
  </si>
  <si>
    <t>WA / Mamíferos – Juliana 190626</t>
  </si>
  <si>
    <t>#¡DIV/0!</t>
  </si>
  <si>
    <t>GASTO TOTAL</t>
  </si>
  <si>
    <t>CONVERSACIONES</t>
  </si>
  <si>
    <t>Agente</t>
  </si>
  <si>
    <t>Total</t>
  </si>
  <si>
    <t>Laura Alejandra López</t>
  </si>
  <si>
    <t>Yuli Pacheco</t>
  </si>
  <si>
    <t>$ 97.461</t>
  </si>
  <si>
    <t>MENSAJES</t>
  </si>
  <si>
    <t>WhatsApp</t>
  </si>
  <si>
    <t>Messenger</t>
  </si>
  <si>
    <t>Instagram</t>
  </si>
  <si>
    <t>AGENCIA JK</t>
  </si>
  <si>
    <t>PRODUCTOS</t>
  </si>
  <si>
    <t>TOTAL GASTO PUBLICIDAD SIN IVA</t>
  </si>
  <si>
    <t>Producto</t>
  </si>
  <si>
    <t>$ 1.805</t>
  </si>
  <si>
    <t>Mariposas Andinas de Colombia</t>
  </si>
  <si>
    <t>Guía Aves de Colombia</t>
  </si>
  <si>
    <t>Mamíferos</t>
  </si>
  <si>
    <t>Aves Silvestres</t>
  </si>
  <si>
    <t>$ 214.800</t>
  </si>
  <si>
    <t>Aves Valle del Cauca</t>
  </si>
  <si>
    <t>Guía Occidente</t>
  </si>
  <si>
    <t>Aves más Hermosas</t>
  </si>
  <si>
    <t>PAGO TOTAL GASTO PUBLICITARIO (CON IVA)</t>
  </si>
  <si>
    <t>Inicio Agencia JK 16 de Julio</t>
  </si>
  <si>
    <t>GASTOS PUBLICITARIOS 24 JUNIO</t>
  </si>
  <si>
    <t>Costo</t>
  </si>
  <si>
    <t>Pago 19 de Julio</t>
  </si>
  <si>
    <t>Agencia JK</t>
  </si>
  <si>
    <t>Pago 2 Agosto</t>
  </si>
  <si>
    <t>Pago 22 de Julio</t>
  </si>
  <si>
    <t>Pago 26 de Julio</t>
  </si>
  <si>
    <t>Pago 29 de Julio</t>
  </si>
  <si>
    <t>2026-06-24</t>
  </si>
  <si>
    <t>TOTAL</t>
  </si>
  <si>
    <t>GASTOS PUBLICITARIOS 1 AGOSTO</t>
  </si>
  <si>
    <t>GASTOS PUBLICITARIOS 1 JULIO</t>
  </si>
  <si>
    <t>Nombre del anuncio</t>
  </si>
  <si>
    <t>Importe gastado (COP)</t>
  </si>
  <si>
    <t>GMAMIF/28-10-25/SEC</t>
  </si>
  <si>
    <t>$ 1.084</t>
  </si>
  <si>
    <t>$ 31.447</t>
  </si>
  <si>
    <t>AVMHERCOL/REEL/27_07</t>
  </si>
  <si>
    <t>$ 2.098</t>
  </si>
  <si>
    <t>$ 12.587</t>
  </si>
  <si>
    <t>Mensajes totales</t>
  </si>
  <si>
    <t>2026-07-01</t>
  </si>
  <si>
    <t>$ 3.002</t>
  </si>
  <si>
    <t>$ 24.013</t>
  </si>
  <si>
    <t>GCAMPAVCOL/PROMO/29_07</t>
  </si>
  <si>
    <t>$ 2.164</t>
  </si>
  <si>
    <t>$ 17.312</t>
  </si>
  <si>
    <t>$ 85.359</t>
  </si>
  <si>
    <t>CONVERSACIONES MERCATELY</t>
  </si>
  <si>
    <t>Ensifera Medellín</t>
  </si>
  <si>
    <t>Ensifera Cali</t>
  </si>
  <si>
    <t>Ensifera Bogotá</t>
  </si>
  <si>
    <t>Sergio Quintero</t>
  </si>
  <si>
    <t>MENSAJES MERCATELY</t>
  </si>
  <si>
    <t>Juliana Serrano</t>
  </si>
  <si>
    <t>Guía Aves de Colombi</t>
  </si>
  <si>
    <t>Ventas Totales Palmira</t>
  </si>
  <si>
    <t>$ 199.800</t>
  </si>
  <si>
    <t>Ventas Totales Cali</t>
  </si>
  <si>
    <t>Carolina Giraldo</t>
  </si>
  <si>
    <t>Ventas Totales Medellín</t>
  </si>
  <si>
    <t>Ventas Totales Bogotá</t>
  </si>
  <si>
    <t>Mariposas</t>
  </si>
  <si>
    <t>Cartillas</t>
  </si>
  <si>
    <t>$ 1.674</t>
  </si>
  <si>
    <t>GASTOS PUBLICITARIOS 2 AGOSTO</t>
  </si>
  <si>
    <t>Conversaciones inefectivas</t>
  </si>
  <si>
    <t>GCAVCOL2/REEL/16_07</t>
  </si>
  <si>
    <t>$ 1.208</t>
  </si>
  <si>
    <t>Conversaciones efectivas</t>
  </si>
  <si>
    <t>Aves de Colombia</t>
  </si>
  <si>
    <t>$ 1.531</t>
  </si>
  <si>
    <t>$ 36.754</t>
  </si>
  <si>
    <t>Conversaciones venta</t>
  </si>
  <si>
    <t>$ 2.022</t>
  </si>
  <si>
    <t>$ 32.348</t>
  </si>
  <si>
    <t>$ 2.089</t>
  </si>
  <si>
    <t>$ 27.151</t>
  </si>
  <si>
    <t>GASTOS PUBLICITARIOS 25 JUNIO</t>
  </si>
  <si>
    <t>2026-06-25</t>
  </si>
  <si>
    <t>GASTOS PUBLICITARIOS 2 JULIO</t>
  </si>
  <si>
    <t>2026-07-02</t>
  </si>
  <si>
    <t>John Jairo Reyes Londoño</t>
  </si>
  <si>
    <t>GASTOS PUBLICITARIOS 3 JULIO</t>
  </si>
  <si>
    <t>2026-07-03</t>
  </si>
  <si>
    <t>GASTOS PUBLICITARIOS 26 JUNIO</t>
  </si>
  <si>
    <t>2026-06-26</t>
  </si>
  <si>
    <t>Salome</t>
  </si>
  <si>
    <t>Guía Orinoquía</t>
  </si>
  <si>
    <t>Doña Dora</t>
  </si>
  <si>
    <t>GASTOS PUBLICITARIOS 4 JULIO</t>
  </si>
  <si>
    <t>2026-07-04</t>
  </si>
  <si>
    <t>GASTOS PUBLICITARIOS 27 JUNIO</t>
  </si>
  <si>
    <t>2026-06-27</t>
  </si>
  <si>
    <t>Libreta de Notas</t>
  </si>
  <si>
    <t>Compra Inconclusa</t>
  </si>
  <si>
    <t>GASTOS PUBLICITARIOS 5 JULIO</t>
  </si>
  <si>
    <t>2026-07-05</t>
  </si>
  <si>
    <t>GASTOS PUBLICITARIOS 28 JUNIO</t>
  </si>
  <si>
    <t>2026-06-28</t>
  </si>
  <si>
    <t>GASTOS PUBLICITARIOS 6 JULIO</t>
  </si>
  <si>
    <t>GASTOS PUBLICITARIOS 29 JUNIO</t>
  </si>
  <si>
    <t>2026-06-29</t>
  </si>
  <si>
    <t>Guía Andes</t>
  </si>
  <si>
    <t>$ 3.600</t>
  </si>
  <si>
    <t>GASTOS PUBLICITARIOS 7 JULIO</t>
  </si>
  <si>
    <t>GASTOS PUBLICITARIOS 30 JUNIO</t>
  </si>
  <si>
    <t>2026-06-30</t>
  </si>
  <si>
    <t>$ 14,01</t>
  </si>
  <si>
    <t>$ 50.436</t>
  </si>
  <si>
    <t>$ 1.868</t>
  </si>
  <si>
    <t>GASTOS PUBLICITARIOS 8 JULIO</t>
  </si>
  <si>
    <t>GASTOS PUBLICITARIOS 9 JULIO</t>
  </si>
  <si>
    <t>GASTOS PUBLICITARIOS 10 JULIO</t>
  </si>
  <si>
    <t>GASTOS PUBLICITARIOS 11 JULIO</t>
  </si>
  <si>
    <t>Guía Caribe</t>
  </si>
  <si>
    <t>GASTOS PUBLICITARIOS 12 JULIO</t>
  </si>
  <si>
    <t>GASTOS PUBLICITARIOS 13 JULIO</t>
  </si>
  <si>
    <t>GASTOS PUBLICITARIOS 14 JULIO</t>
  </si>
  <si>
    <t>Tasco Jumelles 8X42</t>
  </si>
  <si>
    <t>Simmons PRO 8×42</t>
  </si>
  <si>
    <t>Diamondback 8×42</t>
  </si>
  <si>
    <t>GASTOS PUBLICITARIOS 15 JULIO</t>
  </si>
  <si>
    <t>AGENCIA KJ</t>
  </si>
  <si>
    <t>GASTOS PUBLICITARIOS 16 JULIO</t>
  </si>
  <si>
    <t>WPP/ENS/TOUR</t>
  </si>
  <si>
    <t>$ 5.544</t>
  </si>
  <si>
    <t>$ 33.265</t>
  </si>
  <si>
    <t>WPP/ENS/SOUV</t>
  </si>
  <si>
    <t>$ 1.705</t>
  </si>
  <si>
    <t>$ 28.979</t>
  </si>
  <si>
    <t>WPP/ENS/EDIT</t>
  </si>
  <si>
    <t>$ 3.848</t>
  </si>
  <si>
    <t>$ 19.242</t>
  </si>
  <si>
    <t>$ 81.486</t>
  </si>
  <si>
    <t>Información Tours</t>
  </si>
  <si>
    <t>Vortex Triumph 10×42</t>
  </si>
  <si>
    <t>Binoculares</t>
  </si>
  <si>
    <t>SkyGenius 10×42</t>
  </si>
  <si>
    <t>Diamondback 10×42</t>
  </si>
  <si>
    <t>cafe</t>
  </si>
  <si>
    <t>Tasco Jumelles 10X42</t>
  </si>
  <si>
    <t>Jardín Botánico Med</t>
  </si>
  <si>
    <t>Colibríes Bosque Nie</t>
  </si>
  <si>
    <t>$ 419.600</t>
  </si>
  <si>
    <t>$ 639.400</t>
  </si>
  <si>
    <t>$ 2.910</t>
  </si>
  <si>
    <t>GASTOS PUBLICITARIOS 17 JULIO</t>
  </si>
  <si>
    <t>$ 8.813</t>
  </si>
  <si>
    <t>$ 26.439</t>
  </si>
  <si>
    <t>$ 2.254</t>
  </si>
  <si>
    <t>$ 27.053</t>
  </si>
  <si>
    <t>$ 3.595</t>
  </si>
  <si>
    <t>$ 28.756</t>
  </si>
  <si>
    <t>$ 82.248</t>
  </si>
  <si>
    <t>Monserrate Bogotá</t>
  </si>
  <si>
    <t>$ 3.576</t>
  </si>
  <si>
    <t>GASTOS PUBLICITARIOS 18 JULIO</t>
  </si>
  <si>
    <t>$ 10.343</t>
  </si>
  <si>
    <t>$ 31.028</t>
  </si>
  <si>
    <t>$ 2.410</t>
  </si>
  <si>
    <t>$ 36.156</t>
  </si>
  <si>
    <t>$ 1.862</t>
  </si>
  <si>
    <t>$ 27.924</t>
  </si>
  <si>
    <t>$ 95.108</t>
  </si>
  <si>
    <t>$ 349.800</t>
  </si>
  <si>
    <t>$ 2.882</t>
  </si>
  <si>
    <t>GASTOS PUBLICITARIOS 19 JULIO</t>
  </si>
  <si>
    <t>$ 5.143</t>
  </si>
  <si>
    <t>$ 25.716</t>
  </si>
  <si>
    <t>$ 2.416</t>
  </si>
  <si>
    <t>$ 31.410</t>
  </si>
  <si>
    <t>$ 1.504</t>
  </si>
  <si>
    <t>$ 27.065</t>
  </si>
  <si>
    <t>$ 84.191</t>
  </si>
  <si>
    <t>Telescopio Terrestre</t>
  </si>
  <si>
    <t>$ 2.339</t>
  </si>
  <si>
    <t>GASTOS PUBLICITARIOS 20 JULIO</t>
  </si>
  <si>
    <t>$ 5.366</t>
  </si>
  <si>
    <t>$ 37.560</t>
  </si>
  <si>
    <t>$ 3.011</t>
  </si>
  <si>
    <t>$ 30.113</t>
  </si>
  <si>
    <t>$ 3.987</t>
  </si>
  <si>
    <t>$ 31.897</t>
  </si>
  <si>
    <t>$ 99.570</t>
  </si>
  <si>
    <t>Avistamiento Cóndor</t>
  </si>
  <si>
    <t>$ 3.983</t>
  </si>
  <si>
    <t>GASTOS PUBLICITARIOS 21 JULIO</t>
  </si>
  <si>
    <t>$ 4.652</t>
  </si>
  <si>
    <t>$ 27.912</t>
  </si>
  <si>
    <t>$ 1.838</t>
  </si>
  <si>
    <t>$ 27.574</t>
  </si>
  <si>
    <t>$ 1.329</t>
  </si>
  <si>
    <t>$ 31.902</t>
  </si>
  <si>
    <t>$ 87.388</t>
  </si>
  <si>
    <t>$ 1.942</t>
  </si>
  <si>
    <t>GASTOS PUBLICITARIOS 22 JULIO</t>
  </si>
  <si>
    <t>$ 32.620</t>
  </si>
  <si>
    <t>$ 36.100</t>
  </si>
  <si>
    <t>$ 2.491</t>
  </si>
  <si>
    <t>$ 47.337</t>
  </si>
  <si>
    <t>$ 116.057</t>
  </si>
  <si>
    <t>ANUNCIOS</t>
  </si>
  <si>
    <t>BINOC/REEL</t>
  </si>
  <si>
    <t>DETLL/15_07</t>
  </si>
  <si>
    <t>GCAVCOL/REEL/16_07</t>
  </si>
  <si>
    <t>MARIP/AND/COL/22_07</t>
  </si>
  <si>
    <t>5AVES/IMG</t>
  </si>
  <si>
    <t>GMAMIF/16_07/POST</t>
  </si>
  <si>
    <t>Souvenirs</t>
  </si>
  <si>
    <t>$ 674.400</t>
  </si>
  <si>
    <t>$ 2.638</t>
  </si>
  <si>
    <t>GASTOS PUBLICITARIOS 23 JULIO</t>
  </si>
  <si>
    <t>$ 7.775</t>
  </si>
  <si>
    <t>$ 15.549</t>
  </si>
  <si>
    <t>$ 2.414</t>
  </si>
  <si>
    <t>$ 26.553</t>
  </si>
  <si>
    <t>$ 2.382</t>
  </si>
  <si>
    <t>$ 33.341</t>
  </si>
  <si>
    <t>WPP/AVES</t>
  </si>
  <si>
    <t>$ 2.567</t>
  </si>
  <si>
    <t>$ 5.134</t>
  </si>
  <si>
    <t>$ 80.577</t>
  </si>
  <si>
    <t>Pagina Web</t>
  </si>
  <si>
    <t>$ 452.700</t>
  </si>
  <si>
    <t>$ 2.779</t>
  </si>
  <si>
    <t>GASTOS PUBLICITARIOS 24 JULIO</t>
  </si>
  <si>
    <t>$ 3.941</t>
  </si>
  <si>
    <t>$ 19.707</t>
  </si>
  <si>
    <t>$ 2.389</t>
  </si>
  <si>
    <t>$ 38.217</t>
  </si>
  <si>
    <t>$ 8.946</t>
  </si>
  <si>
    <t>$ 66.870</t>
  </si>
  <si>
    <t>$ 3.040</t>
  </si>
  <si>
    <t>GASTOS PUBLICITARIOS 25 JULIO</t>
  </si>
  <si>
    <t>$ 2.412</t>
  </si>
  <si>
    <t>$ 21.707</t>
  </si>
  <si>
    <t>$ 3.196</t>
  </si>
  <si>
    <t>$ 63.927</t>
  </si>
  <si>
    <t>$ 85.634</t>
  </si>
  <si>
    <t>$ 2.953</t>
  </si>
  <si>
    <t>GASTOS PUBLICITARIOS 26 JULIO</t>
  </si>
  <si>
    <t>$ 1.831</t>
  </si>
  <si>
    <t>$ 21.977</t>
  </si>
  <si>
    <t>$ 2.376</t>
  </si>
  <si>
    <t>$ 68.914</t>
  </si>
  <si>
    <t>$ 90.891</t>
  </si>
  <si>
    <t>$ 200.000</t>
  </si>
  <si>
    <t>$ 2.217</t>
  </si>
  <si>
    <t>GASTOS PUBLICITARIOS 27 JULIO</t>
  </si>
  <si>
    <t>Nombre del conjunto de anuncios</t>
  </si>
  <si>
    <t>SIM/COL/+25</t>
  </si>
  <si>
    <t>$ 2.114</t>
  </si>
  <si>
    <t>$ 12.682</t>
  </si>
  <si>
    <t>WRM/COL/+25</t>
  </si>
  <si>
    <t>$ 1.523</t>
  </si>
  <si>
    <t>$ 36.555</t>
  </si>
  <si>
    <t>SEG/COL/+25</t>
  </si>
  <si>
    <t>$ 2.767</t>
  </si>
  <si>
    <t>$ 30.434</t>
  </si>
  <si>
    <t>MMF/COL/+25</t>
  </si>
  <si>
    <t>$ 1.399</t>
  </si>
  <si>
    <t>$ 30.771</t>
  </si>
  <si>
    <t>$ 110.442</t>
  </si>
  <si>
    <t>CrossFire 10×50</t>
  </si>
  <si>
    <t>$ 1.019.000</t>
  </si>
  <si>
    <t>$ 1.418.600</t>
  </si>
  <si>
    <t>$ 1.753</t>
  </si>
  <si>
    <t>GASTOS PUBLICITARIOS 28 JULIO</t>
  </si>
  <si>
    <t>$ 1.419</t>
  </si>
  <si>
    <t>$ 34.047</t>
  </si>
  <si>
    <t>$ 2.086</t>
  </si>
  <si>
    <t>$ 35.464</t>
  </si>
  <si>
    <t>$ 1.729</t>
  </si>
  <si>
    <t>$ 20.748</t>
  </si>
  <si>
    <t>$ 90.259</t>
  </si>
  <si>
    <t>$ 1.703</t>
  </si>
  <si>
    <t>GASTOS PUBLICITARIOS 29 JULIO</t>
  </si>
  <si>
    <t>$ 584</t>
  </si>
  <si>
    <t>$ 1.167</t>
  </si>
  <si>
    <t>$ 2.135</t>
  </si>
  <si>
    <t>$ 25.624</t>
  </si>
  <si>
    <t>$ 1.993</t>
  </si>
  <si>
    <t>$ 21.923</t>
  </si>
  <si>
    <t>$ 1.620</t>
  </si>
  <si>
    <t>$ 12.956</t>
  </si>
  <si>
    <t>GMAMIF/PROMO/CART/29_07</t>
  </si>
  <si>
    <t>$ 3.465</t>
  </si>
  <si>
    <t>$ 65.135</t>
  </si>
  <si>
    <t>$ 1.147.600</t>
  </si>
  <si>
    <t>$ 1.367.400</t>
  </si>
  <si>
    <t>$ 1.916</t>
  </si>
  <si>
    <t>GASTOS PUBLICITARIOS 30 JULIO</t>
  </si>
  <si>
    <t>$ 6.047</t>
  </si>
  <si>
    <t>$ 18.142</t>
  </si>
  <si>
    <t>$ 2.829</t>
  </si>
  <si>
    <t>$ 8.486</t>
  </si>
  <si>
    <t>$ 3.556</t>
  </si>
  <si>
    <t>$ 10.667</t>
  </si>
  <si>
    <t>$ 1.367</t>
  </si>
  <si>
    <t>$ 4.102</t>
  </si>
  <si>
    <t>$ 1.905</t>
  </si>
  <si>
    <t>$ 3.809</t>
  </si>
  <si>
    <t>$ 1.590</t>
  </si>
  <si>
    <t>$ 12.718</t>
  </si>
  <si>
    <t>$ 57.924</t>
  </si>
  <si>
    <t>$ 659.400</t>
  </si>
  <si>
    <t>$ 2.633</t>
  </si>
  <si>
    <t>GASTOS PUBLICITARIOS 31 JULIO</t>
  </si>
  <si>
    <t>$ 1.873</t>
  </si>
  <si>
    <t>$ 28.100</t>
  </si>
  <si>
    <t>$ 2.738</t>
  </si>
  <si>
    <t>$ 13.688</t>
  </si>
  <si>
    <t>$ 1.797</t>
  </si>
  <si>
    <t>$ 30.547</t>
  </si>
  <si>
    <t>$ 3.651</t>
  </si>
  <si>
    <t>$ 2.476</t>
  </si>
  <si>
    <t>$ 14.857</t>
  </si>
  <si>
    <t>$ 90.843</t>
  </si>
  <si>
    <t>Pendiente de guía</t>
  </si>
  <si>
    <t>$ 414.600</t>
  </si>
  <si>
    <t>$ 2.065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</si>
</sst>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-&quot;$&quot;\ * #,##0_-;\-&quot;$&quot;\ * #,##0_-;_-&quot;$&quot;\ * &quot;-&quot;??_-;_-@"/>
    <numFmt numFmtId="165" formatCode="D/M/YYYY"/>
    <numFmt numFmtId="166" formatCode="_-&quot;$&quot;\ * #,##0.00_-;\-&quot;$&quot;\ * #,##0.00_-;_-&quot;$&quot;\ * &quot;-&quot;??_-;_-@"/>
    <numFmt numFmtId="167" formatCode="dd/mm/yyyy"/>
    <numFmt numFmtId="168" formatCode="[$ $]#,##0"/>
    <numFmt numFmtId="169" formatCode="yyyy-mm-dd"/>
  </numFmts>
  <fonts count="14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rgb="FF000000"/>
      <name val="Calibri"/>
    </font>
    <font>
      <b/>
      <sz val="11.0"/>
      <color theme="1"/>
      <name val="Calibri"/>
    </font>
    <font>
      <sz val="11.0"/>
      <color rgb="FF000000"/>
      <name val="Calibri"/>
    </font>
    <font>
      <b/>
      <sz val="14.0"/>
      <color rgb="FF000000"/>
      <name val="Calibri"/>
    </font>
    <font>
      <b/>
      <sz val="12.0"/>
      <color theme="1"/>
      <name val="Calibri"/>
    </font>
    <font>
      <color theme="1"/>
      <name val="Arial"/>
    </font>
    <font>
      <b/>
      <sz val="14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sz val="13.0"/>
      <color rgb="FF000000"/>
      <name val="Calibri"/>
    </font>
    <font>
      <b/>
      <sz val="16.0"/>
      <color theme="1"/>
      <name val="Calibri"/>
      <scheme val="minor"/>
    </font>
    <font>
      <sz val="11.0"/>
      <color theme="1"/>
      <name val="Arial"/>
    </font>
  </fonts>
  <fills count="18">
    <fill>
      <patternFill patternType="none"/>
    </fill>
    <fill>
      <patternFill patternType="lightGray"/>
    </fill>
    <fill>
      <patternFill patternType="solid">
        <fgColor rgb="FFFFF2CB"/>
        <bgColor rgb="FFFFF2CB"/>
      </patternFill>
    </fill>
    <fill>
      <patternFill patternType="solid">
        <fgColor rgb="FFD6DCE4"/>
        <bgColor rgb="FFD6DCE4"/>
      </patternFill>
    </fill>
    <fill>
      <patternFill patternType="solid">
        <fgColor rgb="FFD9E2F3"/>
        <bgColor rgb="FFD9E2F3"/>
      </patternFill>
    </fill>
    <fill>
      <patternFill patternType="solid">
        <fgColor rgb="FFECECEC"/>
        <bgColor rgb="FFECECEC"/>
      </patternFill>
    </fill>
    <fill>
      <patternFill patternType="solid">
        <fgColor rgb="FFC5D9F1"/>
        <bgColor rgb="FFC5D9F1"/>
      </patternFill>
    </fill>
    <fill>
      <patternFill patternType="solid">
        <fgColor rgb="FFF2DCDB"/>
        <bgColor rgb="FFF2DCDB"/>
      </patternFill>
    </fill>
    <fill>
      <patternFill patternType="solid">
        <fgColor rgb="FFE4DFEC"/>
        <bgColor rgb="FFE4DFEC"/>
      </patternFill>
    </fill>
    <fill>
      <patternFill patternType="solid">
        <fgColor rgb="FFEBF1DE"/>
        <bgColor rgb="FFEBF1DE"/>
      </patternFill>
    </fill>
    <fill>
      <patternFill patternType="solid">
        <fgColor rgb="FFFFD966"/>
        <bgColor rgb="FFFFD966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DCE6F1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  <fill>
      <patternFill patternType="solid">
        <fgColor rgb="FFEDEDED"/>
        <bgColor rgb="FFEDEDED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5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164" xfId="0" applyBorder="1" applyFont="1" applyNumberFormat="1"/>
    <xf borderId="0" fillId="0" fontId="1" numFmtId="9" xfId="0" applyFont="1" applyNumberFormat="1"/>
    <xf borderId="1" fillId="3" fontId="2" numFmtId="0" xfId="0" applyBorder="1" applyFill="1" applyFont="1"/>
    <xf borderId="1" fillId="4" fontId="3" numFmtId="165" xfId="0" applyAlignment="1" applyBorder="1" applyFill="1" applyFont="1" applyNumberFormat="1">
      <alignment horizontal="center" vertical="center"/>
    </xf>
    <xf borderId="1" fillId="3" fontId="1" numFmtId="0" xfId="0" applyBorder="1" applyFont="1"/>
    <xf borderId="1" fillId="0" fontId="1" numFmtId="166" xfId="0" applyBorder="1" applyFont="1" applyNumberFormat="1"/>
    <xf borderId="1" fillId="0" fontId="1" numFmtId="164" xfId="0" applyBorder="1" applyFont="1" applyNumberFormat="1"/>
    <xf borderId="1" fillId="2" fontId="2" numFmtId="165" xfId="0" applyAlignment="1" applyBorder="1" applyFont="1" applyNumberFormat="1">
      <alignment horizontal="center" vertical="center"/>
    </xf>
    <xf borderId="1" fillId="0" fontId="1" numFmtId="0" xfId="0" applyBorder="1" applyFont="1"/>
    <xf borderId="1" fillId="2" fontId="2" numFmtId="165" xfId="0" applyAlignment="1" applyBorder="1" applyFont="1" applyNumberFormat="1">
      <alignment horizontal="center" shrinkToFit="0" vertical="center" wrapText="1"/>
    </xf>
    <xf borderId="1" fillId="0" fontId="1" numFmtId="166" xfId="0" applyAlignment="1" applyBorder="1" applyFont="1" applyNumberFormat="1">
      <alignment horizontal="right"/>
    </xf>
    <xf borderId="1" fillId="0" fontId="4" numFmtId="0" xfId="0" applyAlignment="1" applyBorder="1" applyFont="1">
      <alignment horizontal="right" readingOrder="0" shrinkToFit="0" vertical="bottom" wrapText="0"/>
    </xf>
    <xf borderId="1" fillId="3" fontId="4" numFmtId="0" xfId="0" applyBorder="1" applyFont="1"/>
    <xf borderId="1" fillId="0" fontId="1" numFmtId="9" xfId="0" applyBorder="1" applyFont="1" applyNumberFormat="1"/>
    <xf borderId="1" fillId="5" fontId="1" numFmtId="166" xfId="0" applyAlignment="1" applyBorder="1" applyFill="1" applyFont="1" applyNumberFormat="1">
      <alignment shrinkToFit="0" wrapText="1"/>
    </xf>
    <xf borderId="1" fillId="0" fontId="1" numFmtId="2" xfId="0" applyBorder="1" applyFont="1" applyNumberFormat="1"/>
    <xf borderId="1" fillId="5" fontId="1" numFmtId="164" xfId="0" applyAlignment="1" applyBorder="1" applyFont="1" applyNumberFormat="1">
      <alignment shrinkToFit="0" wrapText="1"/>
    </xf>
    <xf borderId="1" fillId="0" fontId="1" numFmtId="10" xfId="0" applyBorder="1" applyFont="1" applyNumberFormat="1"/>
    <xf borderId="2" fillId="2" fontId="5" numFmtId="0" xfId="0" applyBorder="1" applyFont="1"/>
    <xf borderId="1" fillId="0" fontId="1" numFmtId="164" xfId="0" applyAlignment="1" applyBorder="1" applyFont="1" applyNumberFormat="1">
      <alignment horizontal="right"/>
    </xf>
    <xf borderId="0" fillId="0" fontId="4" numFmtId="0" xfId="0" applyFont="1"/>
    <xf borderId="2" fillId="3" fontId="2" numFmtId="0" xfId="0" applyAlignment="1" applyBorder="1" applyFont="1">
      <alignment horizontal="left" vertical="center"/>
    </xf>
    <xf borderId="0" fillId="0" fontId="4" numFmtId="166" xfId="0" applyFont="1" applyNumberFormat="1"/>
    <xf borderId="1" fillId="0" fontId="4" numFmtId="9" xfId="0" applyBorder="1" applyFont="1" applyNumberFormat="1"/>
    <xf borderId="1" fillId="0" fontId="4" numFmtId="9" xfId="0" applyAlignment="1" applyBorder="1" applyFont="1" applyNumberFormat="1">
      <alignment horizontal="right" readingOrder="0" shrinkToFit="0" vertical="bottom" wrapText="0"/>
    </xf>
    <xf borderId="1" fillId="6" fontId="6" numFmtId="0" xfId="0" applyAlignment="1" applyBorder="1" applyFill="1" applyFont="1">
      <alignment vertical="bottom"/>
    </xf>
    <xf borderId="0" fillId="0" fontId="7" numFmtId="0" xfId="0" applyAlignment="1" applyFont="1">
      <alignment vertical="bottom"/>
    </xf>
    <xf borderId="2" fillId="2" fontId="2" numFmtId="0" xfId="0" applyAlignment="1" applyBorder="1" applyFont="1">
      <alignment horizontal="right" vertical="center"/>
    </xf>
    <xf borderId="1" fillId="5" fontId="4" numFmtId="9" xfId="0" applyBorder="1" applyFont="1" applyNumberFormat="1"/>
    <xf borderId="2" fillId="2" fontId="2" numFmtId="166" xfId="0" applyAlignment="1" applyBorder="1" applyFont="1" applyNumberFormat="1">
      <alignment horizontal="right" vertical="center"/>
    </xf>
    <xf borderId="1" fillId="6" fontId="3" numFmtId="0" xfId="0" applyAlignment="1" applyBorder="1" applyFont="1">
      <alignment vertical="bottom"/>
    </xf>
    <xf borderId="1" fillId="7" fontId="3" numFmtId="167" xfId="0" applyAlignment="1" applyBorder="1" applyFill="1" applyFont="1" applyNumberFormat="1">
      <alignment horizontal="center" vertical="bottom"/>
    </xf>
    <xf borderId="2" fillId="2" fontId="2" numFmtId="0" xfId="0" applyBorder="1" applyFont="1"/>
    <xf borderId="1" fillId="8" fontId="3" numFmtId="0" xfId="0" applyAlignment="1" applyBorder="1" applyFill="1" applyFont="1">
      <alignment horizontal="center" vertical="bottom"/>
    </xf>
    <xf borderId="1" fillId="6" fontId="1" numFmtId="0" xfId="0" applyAlignment="1" applyBorder="1" applyFont="1">
      <alignment vertical="bottom"/>
    </xf>
    <xf borderId="1" fillId="0" fontId="1" numFmtId="164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vertical="bottom"/>
    </xf>
    <xf borderId="1" fillId="0" fontId="4" numFmtId="10" xfId="0" applyAlignment="1" applyBorder="1" applyFont="1" applyNumberFormat="1">
      <alignment horizontal="right" readingOrder="0" shrinkToFit="0" vertical="bottom" wrapText="0"/>
    </xf>
    <xf borderId="1" fillId="0" fontId="7" numFmtId="0" xfId="0" applyAlignment="1" applyBorder="1" applyFont="1">
      <alignment readingOrder="0" vertical="bottom"/>
    </xf>
    <xf borderId="1" fillId="5" fontId="1" numFmtId="10" xfId="0" applyAlignment="1" applyBorder="1" applyFont="1" applyNumberFormat="1">
      <alignment shrinkToFit="0" wrapText="1"/>
    </xf>
    <xf borderId="1" fillId="9" fontId="1" numFmtId="164" xfId="0" applyAlignment="1" applyBorder="1" applyFill="1" applyFont="1" applyNumberFormat="1">
      <alignment horizontal="right" vertical="bottom"/>
    </xf>
    <xf borderId="0" fillId="10" fontId="8" numFmtId="0" xfId="0" applyAlignment="1" applyFill="1" applyFont="1">
      <alignment readingOrder="0"/>
    </xf>
    <xf borderId="1" fillId="8" fontId="2" numFmtId="167" xfId="0" applyAlignment="1" applyBorder="1" applyFont="1" applyNumberFormat="1">
      <alignment horizontal="center" readingOrder="0" shrinkToFit="0" wrapText="0"/>
    </xf>
    <xf borderId="1" fillId="8" fontId="2" numFmtId="0" xfId="0" applyAlignment="1" applyBorder="1" applyFont="1">
      <alignment horizontal="center" readingOrder="0"/>
    </xf>
    <xf borderId="0" fillId="11" fontId="9" numFmtId="0" xfId="0" applyAlignment="1" applyFill="1" applyFont="1">
      <alignment readingOrder="0"/>
    </xf>
    <xf borderId="1" fillId="9" fontId="1" numFmtId="0" xfId="0" applyAlignment="1" applyBorder="1" applyFont="1">
      <alignment horizontal="right" vertical="bottom"/>
    </xf>
    <xf borderId="2" fillId="3" fontId="3" numFmtId="0" xfId="0" applyAlignment="1" applyBorder="1" applyFont="1">
      <alignment horizontal="left" vertical="center"/>
    </xf>
    <xf borderId="0" fillId="0" fontId="1" numFmtId="0" xfId="0" applyFont="1"/>
    <xf borderId="1" fillId="6" fontId="1" numFmtId="164" xfId="0" applyAlignment="1" applyBorder="1" applyFont="1" applyNumberFormat="1">
      <alignment shrinkToFit="0" wrapText="1"/>
    </xf>
    <xf borderId="0" fillId="0" fontId="10" numFmtId="164" xfId="0" applyFont="1" applyNumberFormat="1"/>
    <xf borderId="1" fillId="6" fontId="4" numFmtId="0" xfId="0" applyAlignment="1" applyBorder="1" applyFont="1">
      <alignment horizontal="right" readingOrder="0" vertical="bottom"/>
    </xf>
    <xf borderId="1" fillId="0" fontId="1" numFmtId="168" xfId="0" applyAlignment="1" applyBorder="1" applyFont="1" applyNumberFormat="1">
      <alignment horizontal="right" readingOrder="0"/>
    </xf>
    <xf borderId="1" fillId="5" fontId="3" numFmtId="0" xfId="0" applyBorder="1" applyFont="1"/>
    <xf borderId="1" fillId="5" fontId="3" numFmtId="164" xfId="0" applyBorder="1" applyFont="1" applyNumberFormat="1"/>
    <xf borderId="1" fillId="6" fontId="4" numFmtId="168" xfId="0" applyAlignment="1" applyBorder="1" applyFont="1" applyNumberFormat="1">
      <alignment readingOrder="0" vertical="bottom"/>
    </xf>
    <xf borderId="1" fillId="12" fontId="7" numFmtId="0" xfId="0" applyAlignment="1" applyBorder="1" applyFill="1" applyFont="1">
      <alignment horizontal="right" vertical="bottom"/>
    </xf>
    <xf borderId="0" fillId="0" fontId="4" numFmtId="164" xfId="0" applyFont="1" applyNumberFormat="1"/>
    <xf borderId="1" fillId="6" fontId="1" numFmtId="4" xfId="0" applyAlignment="1" applyBorder="1" applyFont="1" applyNumberFormat="1">
      <alignment shrinkToFit="0" wrapText="1"/>
    </xf>
    <xf borderId="0" fillId="0" fontId="4" numFmtId="9" xfId="0" applyFont="1" applyNumberFormat="1"/>
    <xf borderId="0" fillId="0" fontId="4" numFmtId="2" xfId="0" applyFont="1" applyNumberFormat="1"/>
    <xf borderId="0" fillId="13" fontId="10" numFmtId="0" xfId="0" applyFill="1" applyFont="1"/>
    <xf borderId="0" fillId="0" fontId="4" numFmtId="10" xfId="0" applyFont="1" applyNumberFormat="1"/>
    <xf borderId="1" fillId="9" fontId="1" numFmtId="10" xfId="0" applyAlignment="1" applyBorder="1" applyFont="1" applyNumberFormat="1">
      <alignment horizontal="right" vertical="bottom"/>
    </xf>
    <xf borderId="1" fillId="6" fontId="1" numFmtId="10" xfId="0" applyAlignment="1" applyBorder="1" applyFont="1" applyNumberFormat="1">
      <alignment shrinkToFit="0" wrapText="1"/>
    </xf>
    <xf borderId="1" fillId="6" fontId="2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2" fillId="4" fontId="2" numFmtId="0" xfId="0" applyBorder="1" applyFont="1"/>
    <xf borderId="1" fillId="0" fontId="4" numFmtId="168" xfId="0" applyAlignment="1" applyBorder="1" applyFont="1" applyNumberFormat="1">
      <alignment readingOrder="0" shrinkToFit="0" vertical="bottom" wrapText="0"/>
    </xf>
    <xf borderId="1" fillId="0" fontId="4" numFmtId="0" xfId="0" applyAlignment="1" applyBorder="1" applyFont="1">
      <alignment readingOrder="0" vertical="bottom"/>
    </xf>
    <xf borderId="1" fillId="0" fontId="4" numFmtId="168" xfId="0" applyAlignment="1" applyBorder="1" applyFont="1" applyNumberFormat="1">
      <alignment horizontal="right" readingOrder="0" vertical="bottom"/>
    </xf>
    <xf borderId="1" fillId="0" fontId="4" numFmtId="168" xfId="0" applyAlignment="1" applyBorder="1" applyFont="1" applyNumberForma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6" fontId="2" numFmtId="168" xfId="0" applyAlignment="1" applyBorder="1" applyFont="1" applyNumberForma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8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14" fontId="2" numFmtId="0" xfId="0" applyAlignment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14" fontId="2" numFmtId="0" xfId="0" applyAlignment="1" applyFont="1">
      <alignment horizontal="right" readingOrder="0" shrinkToFit="0" wrapText="0"/>
    </xf>
    <xf borderId="0" fillId="14" fontId="2" numFmtId="0" xfId="0" applyAlignment="1" applyFont="1">
      <alignment horizontal="right" readingOrder="0" shrinkToFit="0" vertical="bottom" wrapText="0"/>
    </xf>
    <xf borderId="0" fillId="8" fontId="2" numFmtId="0" xfId="0" applyAlignment="1" applyFont="1">
      <alignment readingOrder="0" shrinkToFit="0" vertical="bottom" wrapText="0"/>
    </xf>
    <xf borderId="1" fillId="4" fontId="2" numFmtId="0" xfId="0" applyBorder="1" applyFont="1"/>
    <xf borderId="0" fillId="14" fontId="3" numFmtId="0" xfId="0" applyAlignment="1" applyFont="1">
      <alignment horizontal="left" readingOrder="0" shrinkToFit="0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1" fillId="14" fontId="1" numFmtId="0" xfId="0" applyAlignment="1" applyBorder="1" applyFont="1">
      <alignment readingOrder="0" shrinkToFit="0" vertical="bottom" wrapText="0"/>
    </xf>
    <xf borderId="1" fillId="9" fontId="1" numFmtId="0" xfId="0" applyAlignment="1" applyBorder="1" applyFont="1">
      <alignment horizontal="right" readingOrder="0" shrinkToFit="0" vertical="bottom" wrapText="0"/>
    </xf>
    <xf borderId="2" fillId="4" fontId="3" numFmtId="0" xfId="0" applyBorder="1" applyFont="1"/>
    <xf borderId="0" fillId="0" fontId="4" numFmtId="0" xfId="0" applyAlignment="1" applyFont="1">
      <alignment horizontal="right" shrinkToFit="0" vertical="bottom" wrapText="0"/>
    </xf>
    <xf borderId="1" fillId="9" fontId="3" numFmtId="0" xfId="0" applyAlignment="1" applyBorder="1" applyFont="1">
      <alignment readingOrder="0" shrinkToFit="0" vertical="bottom" wrapText="0"/>
    </xf>
    <xf borderId="1" fillId="9" fontId="3" numFmtId="0" xfId="0" applyAlignment="1" applyBorder="1" applyFont="1">
      <alignment horizontal="right" readingOrder="0" shrinkToFit="0" vertical="bottom" wrapText="0"/>
    </xf>
    <xf borderId="0" fillId="0" fontId="4" numFmtId="9" xfId="0" applyAlignment="1" applyFont="1" applyNumberFormat="1">
      <alignment horizontal="right" readingOrder="0" shrinkToFit="0" vertical="bottom" wrapText="0"/>
    </xf>
    <xf borderId="1" fillId="6" fontId="4" numFmtId="0" xfId="0" applyAlignment="1" applyBorder="1" applyFont="1">
      <alignment readingOrder="0" shrinkToFit="0" vertical="bottom" wrapText="0"/>
    </xf>
    <xf borderId="1" fillId="4" fontId="1" numFmtId="0" xfId="0" applyBorder="1" applyFont="1"/>
    <xf borderId="1" fillId="5" fontId="1" numFmtId="164" xfId="0" applyBorder="1" applyFont="1" applyNumberFormat="1"/>
    <xf borderId="1" fillId="2" fontId="4" numFmtId="0" xfId="0" applyBorder="1" applyFont="1"/>
    <xf borderId="1" fillId="2" fontId="4" numFmtId="164" xfId="0" applyBorder="1" applyFont="1" applyNumberFormat="1"/>
    <xf borderId="1" fillId="5" fontId="4" numFmtId="166" xfId="0" applyBorder="1" applyFont="1" applyNumberFormat="1"/>
    <xf borderId="1" fillId="5" fontId="4" numFmtId="164" xfId="0" applyBorder="1" applyFont="1" applyNumberFormat="1"/>
    <xf borderId="1" fillId="5" fontId="4" numFmtId="0" xfId="0" applyBorder="1" applyFont="1"/>
    <xf borderId="1" fillId="0" fontId="4" numFmtId="164" xfId="0" applyBorder="1" applyFont="1" applyNumberFormat="1"/>
    <xf borderId="1" fillId="0" fontId="4" numFmtId="2" xfId="0" applyBorder="1" applyFont="1" applyNumberFormat="1"/>
    <xf borderId="1" fillId="0" fontId="4" numFmtId="10" xfId="0" applyBorder="1" applyFont="1" applyNumberFormat="1"/>
    <xf borderId="1" fillId="4" fontId="2" numFmtId="0" xfId="0" applyAlignment="1" applyBorder="1" applyFont="1">
      <alignment horizontal="right" vertical="center"/>
    </xf>
    <xf borderId="1" fillId="4" fontId="2" numFmtId="0" xfId="0" applyAlignment="1" applyBorder="1" applyFont="1">
      <alignment horizontal="right"/>
    </xf>
    <xf borderId="1" fillId="5" fontId="1" numFmtId="166" xfId="0" applyBorder="1" applyFont="1" applyNumberFormat="1"/>
    <xf borderId="1" fillId="5" fontId="1" numFmtId="0" xfId="0" applyBorder="1" applyFont="1"/>
    <xf borderId="2" fillId="4" fontId="2" numFmtId="0" xfId="0" applyAlignment="1" applyBorder="1" applyFont="1">
      <alignment horizontal="right" vertical="center"/>
    </xf>
    <xf borderId="2" fillId="4" fontId="3" numFmtId="0" xfId="0" applyAlignment="1" applyBorder="1" applyFont="1">
      <alignment horizontal="left" vertical="center"/>
    </xf>
    <xf borderId="0" fillId="0" fontId="2" numFmtId="0" xfId="0" applyFont="1"/>
    <xf borderId="0" fillId="15" fontId="5" numFmtId="0" xfId="0" applyAlignment="1" applyFill="1" applyFont="1">
      <alignment readingOrder="0" shrinkToFit="0" vertical="bottom" wrapText="0"/>
    </xf>
    <xf borderId="0" fillId="16" fontId="2" numFmtId="0" xfId="0" applyAlignment="1" applyFill="1" applyFont="1">
      <alignment readingOrder="0" shrinkToFit="0" vertical="bottom" wrapText="0"/>
    </xf>
    <xf borderId="0" fillId="0" fontId="4" numFmtId="169" xfId="0" applyAlignment="1" applyFont="1" applyNumberFormat="1">
      <alignment readingOrder="0" shrinkToFit="0" vertical="bottom" wrapText="0"/>
    </xf>
    <xf borderId="0" fillId="16" fontId="2" numFmtId="0" xfId="0" applyAlignment="1" applyFont="1">
      <alignment horizontal="right" readingOrder="0" shrinkToFit="0" vertical="bottom" wrapText="0"/>
    </xf>
    <xf borderId="0" fillId="15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16" fontId="3" numFmtId="0" xfId="0" applyAlignment="1" applyFont="1">
      <alignment horizontal="left" readingOrder="0" shrinkToFit="0" wrapText="0"/>
    </xf>
    <xf borderId="0" fillId="0" fontId="10" numFmtId="0" xfId="0" applyFont="1"/>
    <xf borderId="0" fillId="0" fontId="1" numFmtId="0" xfId="0" applyAlignment="1" applyFont="1">
      <alignment shrinkToFit="0" vertical="bottom" wrapText="0"/>
    </xf>
    <xf borderId="1" fillId="16" fontId="1" numFmtId="0" xfId="0" applyAlignment="1" applyBorder="1" applyFont="1">
      <alignment readingOrder="0" shrinkToFit="0" vertical="bottom" wrapText="0"/>
    </xf>
    <xf borderId="1" fillId="17" fontId="1" numFmtId="0" xfId="0" applyAlignment="1" applyBorder="1" applyFill="1" applyFont="1">
      <alignment readingOrder="0" shrinkToFit="0" vertical="bottom" wrapText="0"/>
    </xf>
    <xf borderId="1" fillId="17" fontId="3" numFmtId="0" xfId="0" applyAlignment="1" applyBorder="1" applyFont="1">
      <alignment readingOrder="0" shrinkToFit="0" vertical="bottom" wrapText="0"/>
    </xf>
    <xf borderId="1" fillId="15" fontId="4" numFmtId="0" xfId="0" applyAlignment="1" applyBorder="1" applyFont="1">
      <alignment readingOrder="0" shrinkToFit="0" vertical="bottom" wrapText="0"/>
    </xf>
    <xf borderId="1" fillId="3" fontId="2" numFmtId="0" xfId="0" applyAlignment="1" applyBorder="1" applyFont="1">
      <alignment readingOrder="0" shrinkToFit="0" vertical="bottom" wrapText="0"/>
    </xf>
    <xf borderId="1" fillId="15" fontId="2" numFmtId="167" xfId="0" applyAlignment="1" applyBorder="1" applyFont="1" applyNumberFormat="1">
      <alignment horizontal="center" readingOrder="0" shrinkToFit="0" wrapText="0"/>
    </xf>
    <xf borderId="1" fillId="3" fontId="4" numFmtId="0" xfId="0" applyAlignment="1" applyBorder="1" applyFont="1">
      <alignment readingOrder="0" shrinkToFit="0" vertical="bottom" wrapText="0"/>
    </xf>
    <xf borderId="1" fillId="17" fontId="4" numFmtId="0" xfId="0" applyAlignment="1" applyBorder="1" applyFont="1">
      <alignment readingOrder="0" shrinkToFit="0" vertical="bottom" wrapText="0"/>
    </xf>
    <xf borderId="1" fillId="17" fontId="4" numFmtId="0" xfId="0" applyAlignment="1" applyBorder="1" applyFont="1">
      <alignment horizontal="right" readingOrder="0" shrinkToFit="0" vertical="bottom" wrapText="0"/>
    </xf>
    <xf borderId="1" fillId="9" fontId="1" numFmtId="0" xfId="0" applyAlignment="1" applyBorder="1" applyFont="1">
      <alignment readingOrder="0" shrinkToFit="0" vertical="bottom" wrapText="0"/>
    </xf>
    <xf borderId="1" fillId="8" fontId="4" numFmtId="0" xfId="0" applyAlignment="1" applyBorder="1" applyFont="1">
      <alignment readingOrder="0" shrinkToFit="0" vertical="bottom" wrapText="0"/>
    </xf>
    <xf borderId="1" fillId="9" fontId="4" numFmtId="0" xfId="0" applyAlignment="1" applyBorder="1" applyFont="1">
      <alignment readingOrder="0" shrinkToFit="0" vertical="bottom" wrapText="0"/>
    </xf>
    <xf borderId="1" fillId="9" fontId="4" numFmtId="0" xfId="0" applyAlignment="1" applyBorder="1" applyFont="1">
      <alignment horizontal="right" readingOrder="0" shrinkToFit="0" vertical="bottom" wrapText="0"/>
    </xf>
    <xf borderId="1" fillId="0" fontId="4" numFmtId="0" xfId="0" applyAlignment="1" applyBorder="1" applyFont="1">
      <alignment horizontal="center" readingOrder="0" shrinkToFit="0" vertical="bottom" wrapText="0"/>
    </xf>
    <xf borderId="0" fillId="14" fontId="4" numFmtId="0" xfId="0" applyAlignment="1" applyFont="1">
      <alignment readingOrder="0" shrinkToFit="0" vertical="bottom" wrapText="0"/>
    </xf>
    <xf borderId="0" fillId="8" fontId="11" numFmtId="0" xfId="0" applyAlignment="1" applyFont="1">
      <alignment readingOrder="0" shrinkToFit="0" vertical="bottom" wrapText="0"/>
    </xf>
    <xf borderId="0" fillId="14" fontId="2" numFmtId="0" xfId="0" applyAlignment="1" applyFont="1">
      <alignment horizontal="center" readingOrder="0" shrinkToFit="0" vertical="bottom" wrapText="0"/>
    </xf>
    <xf borderId="0" fillId="14" fontId="2" numFmtId="0" xfId="0" applyAlignment="1" applyFont="1">
      <alignment horizontal="center" readingOrder="0" shrinkToFit="0" wrapText="0"/>
    </xf>
    <xf borderId="0" fillId="15" fontId="12" numFmtId="0" xfId="0" applyAlignment="1" applyFont="1">
      <alignment readingOrder="0"/>
    </xf>
    <xf borderId="0" fillId="0" fontId="4" numFmtId="10" xfId="0" applyAlignment="1" applyFont="1" applyNumberFormat="1">
      <alignment horizontal="right" readingOrder="0" shrinkToFit="0" vertical="bottom" wrapText="0"/>
    </xf>
    <xf borderId="0" fillId="0" fontId="4" numFmtId="10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14" fontId="3" numFmtId="0" xfId="0" applyAlignment="1" applyFont="1">
      <alignment readingOrder="0" shrinkToFit="0" vertical="bottom" wrapText="0"/>
    </xf>
    <xf borderId="0" fillId="0" fontId="4" numFmtId="10" xfId="0" applyAlignment="1" applyFont="1" applyNumberFormat="1">
      <alignment shrinkToFit="0" vertical="bottom" wrapText="0"/>
    </xf>
    <xf borderId="0" fillId="14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13" numFmtId="0" xfId="0" applyAlignment="1" applyFont="1">
      <alignment horizontal="right" readingOrder="0" shrinkToFit="0" vertical="bottom" wrapText="0"/>
    </xf>
    <xf borderId="0" fillId="0" fontId="4" numFmtId="10" xfId="0" applyAlignment="1" applyFont="1" applyNumberFormat="1">
      <alignment horizontal="right" shrinkToFit="0" vertical="bottom" wrapText="0"/>
    </xf>
    <xf borderId="0" fillId="0" fontId="4" numFmtId="10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Arial"/>
              </a:defRPr>
            </a:pPr>
            <a:r>
              <a:rPr b="0">
                <a:solidFill>
                  <a:srgbClr val="757575"/>
                </a:solidFill>
                <a:latin typeface="Arial"/>
              </a:rPr>
              <a:t>Promedio Conversaciones Mercately 1 - 2 Agosto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472C4"/>
              </a:solidFill>
            </c:spPr>
          </c:dPt>
          <c:dPt>
            <c:idx val="1"/>
            <c:spPr>
              <a:solidFill>
                <a:srgbClr val="ED7D31"/>
              </a:solidFill>
            </c:spPr>
          </c:dPt>
          <c:dPt>
            <c:idx val="2"/>
            <c:spPr>
              <a:solidFill>
                <a:srgbClr val="A5A5A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Agosto!$H$76:$H$78</c:f>
            </c:strRef>
          </c:cat>
          <c:val>
            <c:numRef>
              <c:f>Agosto!$I$76:$I$78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79</xdr:row>
      <xdr:rowOff>19050</xdr:rowOff>
    </xdr:from>
    <xdr:ext cx="5505450" cy="3400425"/>
    <xdr:graphicFrame>
      <xdr:nvGraphicFramePr>
        <xdr:cNvPr id="396799323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7.29"/>
    <col customWidth="1" min="2" max="2" width="14.14"/>
    <col customWidth="1" min="3" max="3" width="36.0"/>
    <col customWidth="1" min="4" max="4" width="10.71"/>
    <col customWidth="1" min="5" max="5" width="18.29"/>
    <col customWidth="1" min="6" max="6" width="20.29"/>
    <col customWidth="1" min="7" max="7" width="11.29"/>
    <col customWidth="1" min="8" max="8" width="10.71"/>
    <col customWidth="1" min="9" max="9" width="20.43"/>
    <col customWidth="1" min="10" max="10" width="11.86"/>
    <col customWidth="1" min="11" max="26" width="10.71"/>
  </cols>
  <sheetData>
    <row r="1" ht="14.25" customHeight="1">
      <c r="A1" s="1" t="s">
        <v>0</v>
      </c>
      <c r="B1" s="2">
        <v>3600.0</v>
      </c>
      <c r="C1" s="3">
        <v>1.0</v>
      </c>
    </row>
    <row r="2" ht="14.25" customHeight="1"/>
    <row r="3" ht="14.25" customHeight="1">
      <c r="A3" s="4" t="s">
        <v>1</v>
      </c>
      <c r="B3" s="5">
        <v>46196.0</v>
      </c>
      <c r="C3" s="5">
        <v>46197.0</v>
      </c>
      <c r="D3" s="5">
        <v>46198.0</v>
      </c>
      <c r="E3" s="5">
        <v>46199.0</v>
      </c>
      <c r="F3" s="5">
        <v>46200.0</v>
      </c>
      <c r="G3" s="5">
        <v>46201.0</v>
      </c>
      <c r="H3" s="5">
        <v>46202.0</v>
      </c>
      <c r="I3" s="5">
        <v>46203.0</v>
      </c>
      <c r="J3" s="5" t="s">
        <v>2</v>
      </c>
    </row>
    <row r="4" ht="14.25" customHeight="1">
      <c r="A4" s="6" t="s">
        <v>3</v>
      </c>
      <c r="B4" s="7">
        <v>11.12</v>
      </c>
      <c r="C4" s="7">
        <v>12.09</v>
      </c>
      <c r="D4" s="7">
        <v>13.790000000000001</v>
      </c>
      <c r="E4" s="7">
        <v>12.59</v>
      </c>
      <c r="F4" s="7">
        <v>12.080000000000002</v>
      </c>
      <c r="G4" s="7">
        <v>11.719999999999997</v>
      </c>
      <c r="H4" s="7">
        <v>12.76</v>
      </c>
      <c r="I4" s="7">
        <v>15.22</v>
      </c>
      <c r="J4" s="7">
        <v>101.37</v>
      </c>
    </row>
    <row r="5" ht="14.25" customHeight="1">
      <c r="A5" s="6" t="s">
        <v>4</v>
      </c>
      <c r="B5" s="8">
        <v>40032.0</v>
      </c>
      <c r="C5" s="8">
        <v>43524.0</v>
      </c>
      <c r="D5" s="8">
        <v>49644.0</v>
      </c>
      <c r="E5" s="8">
        <v>45324.0</v>
      </c>
      <c r="F5" s="8">
        <v>43488.00000000001</v>
      </c>
      <c r="G5" s="8">
        <v>42191.99999999999</v>
      </c>
      <c r="H5" s="8">
        <v>45936.0</v>
      </c>
      <c r="I5" s="8">
        <v>54792.0</v>
      </c>
      <c r="J5" s="8">
        <v>364932.0</v>
      </c>
    </row>
    <row r="6" ht="14.25" customHeight="1">
      <c r="A6" s="6" t="s">
        <v>5</v>
      </c>
      <c r="B6" s="10">
        <v>22.0</v>
      </c>
      <c r="C6" s="10">
        <v>33.0</v>
      </c>
      <c r="D6" s="10">
        <v>28.0</v>
      </c>
      <c r="E6" s="10">
        <v>23.0</v>
      </c>
      <c r="F6" s="10">
        <v>23.0</v>
      </c>
      <c r="G6" s="10">
        <v>23.0</v>
      </c>
      <c r="H6" s="10">
        <v>23.0</v>
      </c>
      <c r="I6" s="10">
        <v>33.0</v>
      </c>
      <c r="J6" s="10">
        <v>208.0</v>
      </c>
    </row>
    <row r="7" ht="14.25" customHeight="1">
      <c r="A7" s="6" t="s">
        <v>6</v>
      </c>
      <c r="B7" s="8">
        <v>1819.6363636363637</v>
      </c>
      <c r="C7" s="8">
        <v>1318.909090909091</v>
      </c>
      <c r="D7" s="8">
        <v>1773.0</v>
      </c>
      <c r="E7" s="8">
        <v>1970.608695652174</v>
      </c>
      <c r="F7" s="8">
        <v>1890.7826086956525</v>
      </c>
      <c r="G7" s="8">
        <v>1834.4347826086953</v>
      </c>
      <c r="H7" s="8">
        <v>1997.2173913043478</v>
      </c>
      <c r="I7" s="8">
        <v>1660.3636363636363</v>
      </c>
      <c r="J7" s="7"/>
    </row>
    <row r="8" ht="14.25" customHeight="1">
      <c r="A8" s="6" t="s">
        <v>7</v>
      </c>
      <c r="B8" s="8">
        <v>219800.0</v>
      </c>
      <c r="C8" s="8">
        <v>943400.0</v>
      </c>
      <c r="D8" s="10"/>
      <c r="E8" s="10"/>
      <c r="F8" s="10"/>
      <c r="G8" s="10"/>
      <c r="H8" s="10"/>
      <c r="I8" s="10"/>
      <c r="J8" s="8">
        <v>1163200.0</v>
      </c>
    </row>
    <row r="9" ht="14.25" customHeight="1">
      <c r="A9" s="14" t="s">
        <v>9</v>
      </c>
      <c r="B9" s="15">
        <v>0.18212920837124658</v>
      </c>
      <c r="C9" s="15">
        <v>0.04613525545897816</v>
      </c>
      <c r="D9" s="10"/>
      <c r="E9" s="10"/>
      <c r="F9" s="10"/>
      <c r="G9" s="10"/>
      <c r="H9" s="10"/>
      <c r="I9" s="10"/>
      <c r="J9" s="7"/>
    </row>
    <row r="10" ht="14.25" customHeight="1">
      <c r="A10" s="6" t="s">
        <v>18</v>
      </c>
      <c r="B10" s="17">
        <v>5.490607513988809</v>
      </c>
      <c r="C10" s="17">
        <v>21.675397481849096</v>
      </c>
      <c r="D10" s="10"/>
      <c r="E10" s="10"/>
      <c r="F10" s="10"/>
      <c r="G10" s="10"/>
      <c r="H10" s="10"/>
      <c r="I10" s="10"/>
      <c r="J10" s="7"/>
    </row>
    <row r="11" ht="14.25" customHeight="1">
      <c r="A11" s="6" t="s">
        <v>22</v>
      </c>
      <c r="B11" s="8">
        <v>219800.0</v>
      </c>
      <c r="C11" s="8">
        <v>943400.0</v>
      </c>
      <c r="D11" s="10"/>
      <c r="E11" s="10"/>
      <c r="F11" s="10"/>
      <c r="G11" s="10"/>
      <c r="H11" s="10"/>
      <c r="I11" s="10"/>
      <c r="J11" s="8">
        <v>1163200.0</v>
      </c>
    </row>
    <row r="12" ht="14.25" customHeight="1">
      <c r="A12" s="6" t="s">
        <v>29</v>
      </c>
      <c r="B12" s="19">
        <v>0.045454545454545456</v>
      </c>
      <c r="C12" s="19">
        <v>0.030303030303030304</v>
      </c>
      <c r="D12" s="10"/>
      <c r="E12" s="10"/>
      <c r="F12" s="10"/>
      <c r="G12" s="10"/>
      <c r="H12" s="10"/>
      <c r="I12" s="10"/>
      <c r="J12" s="7"/>
    </row>
    <row r="13" ht="14.25" customHeight="1"/>
    <row r="14" ht="14.25" customHeight="1"/>
    <row r="15" ht="14.25" customHeight="1">
      <c r="A15" s="20" t="s">
        <v>30</v>
      </c>
      <c r="B15" s="22"/>
      <c r="C15" s="22"/>
      <c r="D15" s="22"/>
      <c r="E15" s="22"/>
      <c r="F15" s="22"/>
      <c r="G15" s="22"/>
      <c r="H15" s="22"/>
      <c r="I15" s="22"/>
    </row>
    <row r="16" ht="14.25" customHeight="1">
      <c r="A16" s="23" t="s">
        <v>36</v>
      </c>
      <c r="B16" s="23" t="s">
        <v>39</v>
      </c>
      <c r="C16" s="23" t="s">
        <v>42</v>
      </c>
      <c r="D16" s="23" t="s">
        <v>43</v>
      </c>
      <c r="E16" s="23" t="s">
        <v>44</v>
      </c>
      <c r="F16" s="23" t="s">
        <v>45</v>
      </c>
      <c r="G16" s="23" t="s">
        <v>46</v>
      </c>
      <c r="H16" s="23" t="s">
        <v>47</v>
      </c>
      <c r="I16" s="23" t="s">
        <v>48</v>
      </c>
    </row>
    <row r="17" ht="14.25" customHeight="1">
      <c r="A17" s="22" t="s">
        <v>49</v>
      </c>
      <c r="B17" s="22" t="s">
        <v>49</v>
      </c>
      <c r="C17" s="22" t="s">
        <v>50</v>
      </c>
      <c r="D17" s="22">
        <v>11.0</v>
      </c>
      <c r="E17" s="22">
        <v>0.40363636</v>
      </c>
      <c r="F17" s="24">
        <v>4.44</v>
      </c>
      <c r="G17" s="22">
        <v>5867.0</v>
      </c>
      <c r="H17" s="22">
        <v>5196.0</v>
      </c>
      <c r="I17" s="22">
        <v>11.0</v>
      </c>
    </row>
    <row r="18" ht="14.25" customHeight="1">
      <c r="A18" s="22" t="s">
        <v>49</v>
      </c>
      <c r="B18" s="22" t="s">
        <v>49</v>
      </c>
      <c r="C18" s="22" t="s">
        <v>56</v>
      </c>
      <c r="D18" s="22">
        <v>5.0</v>
      </c>
      <c r="E18" s="22">
        <v>0.32</v>
      </c>
      <c r="F18" s="24">
        <v>1.6</v>
      </c>
      <c r="G18" s="22">
        <v>4584.0</v>
      </c>
      <c r="H18" s="22">
        <v>4464.0</v>
      </c>
      <c r="I18" s="22">
        <v>5.0</v>
      </c>
    </row>
    <row r="19" ht="14.25" customHeight="1">
      <c r="A19" s="22" t="s">
        <v>49</v>
      </c>
      <c r="B19" s="22" t="s">
        <v>49</v>
      </c>
      <c r="C19" s="22" t="s">
        <v>59</v>
      </c>
      <c r="D19" s="22">
        <v>1.0</v>
      </c>
      <c r="E19" s="22">
        <v>1.63</v>
      </c>
      <c r="F19" s="24">
        <v>1.63</v>
      </c>
      <c r="G19" s="22">
        <v>2730.0</v>
      </c>
      <c r="H19" s="22">
        <v>2635.0</v>
      </c>
      <c r="I19" s="22">
        <v>1.0</v>
      </c>
    </row>
    <row r="20" ht="14.25" customHeight="1">
      <c r="A20" s="22" t="s">
        <v>49</v>
      </c>
      <c r="B20" s="22" t="s">
        <v>49</v>
      </c>
      <c r="C20" s="22" t="s">
        <v>61</v>
      </c>
      <c r="D20" s="22">
        <v>1.0</v>
      </c>
      <c r="E20" s="22">
        <v>1.67</v>
      </c>
      <c r="F20" s="24">
        <v>1.67</v>
      </c>
      <c r="G20" s="22">
        <v>2512.0</v>
      </c>
      <c r="H20" s="22">
        <v>2436.0</v>
      </c>
      <c r="I20" s="22">
        <v>2.0</v>
      </c>
    </row>
    <row r="21" ht="14.25" customHeight="1">
      <c r="A21" s="22" t="s">
        <v>49</v>
      </c>
      <c r="B21" s="22" t="s">
        <v>49</v>
      </c>
      <c r="C21" s="22" t="s">
        <v>63</v>
      </c>
      <c r="D21" s="22">
        <v>3.0</v>
      </c>
      <c r="E21" s="22">
        <v>0.59333333</v>
      </c>
      <c r="F21" s="24">
        <v>1.78</v>
      </c>
      <c r="G21" s="22">
        <v>4745.0</v>
      </c>
      <c r="H21" s="22">
        <v>4613.0</v>
      </c>
      <c r="I21" s="22">
        <v>3.0</v>
      </c>
    </row>
    <row r="22" ht="14.25" customHeight="1">
      <c r="A22" s="22"/>
      <c r="B22" s="22"/>
      <c r="C22" s="22"/>
      <c r="D22" s="22"/>
      <c r="E22" s="29" t="s">
        <v>65</v>
      </c>
      <c r="F22" s="31">
        <f>SUM(F17:F21)</f>
        <v>11.12</v>
      </c>
      <c r="G22" s="22"/>
      <c r="H22" s="22"/>
      <c r="I22" s="34">
        <f>SUM(I17:I21)</f>
        <v>22</v>
      </c>
    </row>
    <row r="23" ht="14.25" customHeight="1">
      <c r="A23" s="22"/>
      <c r="B23" s="22"/>
      <c r="C23" s="22"/>
      <c r="D23" s="22"/>
      <c r="E23" s="22"/>
      <c r="F23" s="22"/>
      <c r="G23" s="22"/>
      <c r="H23" s="22"/>
      <c r="I23" s="22"/>
    </row>
    <row r="24" ht="14.25" customHeight="1">
      <c r="A24" s="34" t="s">
        <v>66</v>
      </c>
      <c r="B24" s="22"/>
      <c r="C24" s="22"/>
      <c r="D24" s="22"/>
      <c r="E24" s="22"/>
      <c r="F24" s="22"/>
      <c r="G24" s="22"/>
      <c r="H24" s="22"/>
      <c r="I24" s="22"/>
    </row>
    <row r="25" ht="14.25" customHeight="1">
      <c r="A25" s="23" t="s">
        <v>67</v>
      </c>
      <c r="B25" s="23" t="s">
        <v>68</v>
      </c>
      <c r="C25" s="22"/>
      <c r="D25" s="22"/>
      <c r="E25" s="22"/>
      <c r="F25" s="22"/>
      <c r="G25" s="22"/>
      <c r="H25" s="22"/>
      <c r="I25" s="22"/>
    </row>
    <row r="26" ht="14.25" customHeight="1">
      <c r="A26" s="22" t="s">
        <v>69</v>
      </c>
      <c r="B26" s="22">
        <v>19.0</v>
      </c>
      <c r="C26" s="22"/>
      <c r="D26" s="22"/>
      <c r="E26" s="22"/>
      <c r="F26" s="22"/>
      <c r="G26" s="22"/>
      <c r="H26" s="22"/>
      <c r="I26" s="22"/>
    </row>
    <row r="27" ht="14.25" customHeight="1">
      <c r="A27" s="22" t="s">
        <v>70</v>
      </c>
      <c r="B27" s="22">
        <v>17.0</v>
      </c>
      <c r="C27" s="22"/>
      <c r="D27" s="22"/>
      <c r="E27" s="22"/>
      <c r="F27" s="22"/>
      <c r="G27" s="22"/>
      <c r="H27" s="22"/>
      <c r="I27" s="22"/>
    </row>
    <row r="28" ht="14.25" customHeight="1">
      <c r="A28" s="22"/>
      <c r="B28" s="34">
        <f>SUM(B26:B27)</f>
        <v>36</v>
      </c>
      <c r="C28" s="22"/>
      <c r="D28" s="22"/>
      <c r="E28" s="22"/>
      <c r="F28" s="22"/>
      <c r="G28" s="22"/>
      <c r="H28" s="22"/>
      <c r="I28" s="22"/>
    </row>
    <row r="29" ht="14.25" customHeight="1">
      <c r="A29" s="22"/>
      <c r="B29" s="22"/>
      <c r="C29" s="22"/>
      <c r="D29" s="22"/>
      <c r="E29" s="22"/>
      <c r="F29" s="22"/>
      <c r="G29" s="22"/>
      <c r="H29" s="22"/>
      <c r="I29" s="22"/>
    </row>
    <row r="30" ht="14.25" customHeight="1">
      <c r="A30" s="34" t="s">
        <v>72</v>
      </c>
      <c r="B30" s="22"/>
      <c r="C30" s="22"/>
      <c r="D30" s="22"/>
      <c r="E30" s="22"/>
      <c r="F30" s="22"/>
      <c r="G30" s="22"/>
      <c r="H30" s="22"/>
      <c r="I30" s="22"/>
    </row>
    <row r="31" ht="14.25" customHeight="1">
      <c r="A31" s="23" t="s">
        <v>67</v>
      </c>
      <c r="B31" s="23" t="s">
        <v>73</v>
      </c>
      <c r="C31" s="23" t="s">
        <v>74</v>
      </c>
      <c r="D31" s="23" t="s">
        <v>75</v>
      </c>
      <c r="E31" s="23" t="s">
        <v>68</v>
      </c>
      <c r="F31" s="22"/>
      <c r="G31" s="22"/>
      <c r="H31" s="22"/>
      <c r="I31" s="22"/>
    </row>
    <row r="32" ht="14.25" customHeight="1">
      <c r="A32" s="22" t="s">
        <v>69</v>
      </c>
      <c r="B32" s="22">
        <v>43.0</v>
      </c>
      <c r="C32" s="22">
        <v>0.0</v>
      </c>
      <c r="D32" s="22">
        <v>0.0</v>
      </c>
      <c r="E32" s="22">
        <v>43.0</v>
      </c>
      <c r="F32" s="22"/>
      <c r="G32" s="22"/>
      <c r="H32" s="22"/>
      <c r="I32" s="22"/>
    </row>
    <row r="33" ht="14.25" customHeight="1">
      <c r="A33" s="22" t="s">
        <v>70</v>
      </c>
      <c r="B33" s="22">
        <v>12.0</v>
      </c>
      <c r="C33" s="22">
        <v>0.0</v>
      </c>
      <c r="D33" s="22">
        <v>4.0</v>
      </c>
      <c r="E33" s="22">
        <v>16.0</v>
      </c>
      <c r="F33" s="22"/>
      <c r="G33" s="22"/>
      <c r="H33" s="22"/>
      <c r="I33" s="22"/>
    </row>
    <row r="34" ht="14.25" customHeight="1">
      <c r="A34" s="22"/>
      <c r="B34" s="22"/>
      <c r="C34" s="22"/>
      <c r="D34" s="22"/>
      <c r="E34" s="22"/>
      <c r="F34" s="22"/>
      <c r="G34" s="22"/>
      <c r="H34" s="22"/>
      <c r="I34" s="22"/>
    </row>
    <row r="35" ht="14.25" customHeight="1">
      <c r="A35" s="34" t="s">
        <v>77</v>
      </c>
      <c r="B35" s="22"/>
      <c r="C35" s="22"/>
      <c r="D35" s="22"/>
      <c r="E35" s="22"/>
      <c r="F35" s="22"/>
      <c r="G35" s="22"/>
      <c r="H35" s="22"/>
      <c r="I35" s="22"/>
    </row>
    <row r="36" ht="14.25" customHeight="1">
      <c r="A36" s="48" t="s">
        <v>79</v>
      </c>
      <c r="B36" s="48" t="s">
        <v>5</v>
      </c>
      <c r="C36" s="22"/>
      <c r="D36" s="22"/>
      <c r="E36" s="22"/>
      <c r="F36" s="22"/>
      <c r="G36" s="22"/>
      <c r="H36" s="22"/>
      <c r="I36" s="22"/>
    </row>
    <row r="37" ht="14.25" customHeight="1">
      <c r="A37" s="49" t="s">
        <v>81</v>
      </c>
      <c r="B37" s="49">
        <v>13.0</v>
      </c>
      <c r="C37" s="22"/>
      <c r="D37" s="22"/>
      <c r="E37" s="22"/>
      <c r="F37" s="22"/>
      <c r="G37" s="22"/>
      <c r="H37" s="22"/>
      <c r="I37" s="22"/>
    </row>
    <row r="38" ht="14.25" customHeight="1">
      <c r="A38" s="49" t="s">
        <v>82</v>
      </c>
      <c r="B38" s="49">
        <v>7.0</v>
      </c>
      <c r="C38" s="22"/>
      <c r="D38" s="22"/>
      <c r="E38" s="22"/>
      <c r="F38" s="22"/>
      <c r="G38" s="22"/>
      <c r="H38" s="22"/>
      <c r="I38" s="22"/>
    </row>
    <row r="39" ht="14.25" customHeight="1">
      <c r="A39" s="49" t="s">
        <v>83</v>
      </c>
      <c r="B39" s="49">
        <v>6.0</v>
      </c>
      <c r="C39" s="22"/>
      <c r="D39" s="22"/>
      <c r="E39" s="22"/>
      <c r="F39" s="22"/>
      <c r="G39" s="22"/>
      <c r="H39" s="22"/>
      <c r="I39" s="22"/>
    </row>
    <row r="40" ht="14.25" customHeight="1">
      <c r="A40" s="49" t="s">
        <v>84</v>
      </c>
      <c r="B40" s="49">
        <v>5.0</v>
      </c>
      <c r="C40" s="22"/>
      <c r="D40" s="22"/>
      <c r="E40" s="22"/>
      <c r="F40" s="22"/>
      <c r="G40" s="22"/>
      <c r="H40" s="22"/>
      <c r="I40" s="22"/>
    </row>
    <row r="41" ht="14.25" customHeight="1">
      <c r="A41" s="49" t="s">
        <v>86</v>
      </c>
      <c r="B41" s="49">
        <v>1.0</v>
      </c>
      <c r="C41" s="22"/>
      <c r="D41" s="22"/>
      <c r="E41" s="22"/>
      <c r="F41" s="22"/>
      <c r="G41" s="22"/>
      <c r="H41" s="22"/>
      <c r="I41" s="22"/>
    </row>
    <row r="42" ht="14.25" customHeight="1">
      <c r="A42" s="49" t="s">
        <v>87</v>
      </c>
      <c r="B42" s="49">
        <v>1.0</v>
      </c>
      <c r="C42" s="22"/>
      <c r="D42" s="22"/>
      <c r="E42" s="22"/>
      <c r="F42" s="22"/>
      <c r="G42" s="22"/>
      <c r="H42" s="22"/>
      <c r="I42" s="22"/>
    </row>
    <row r="43" ht="14.25" customHeight="1">
      <c r="A43" s="49" t="s">
        <v>88</v>
      </c>
      <c r="B43" s="49">
        <v>1.0</v>
      </c>
      <c r="C43" s="22"/>
      <c r="D43" s="22"/>
      <c r="E43" s="22"/>
      <c r="F43" s="22"/>
      <c r="G43" s="22"/>
      <c r="H43" s="22"/>
      <c r="I43" s="22"/>
    </row>
    <row r="44" ht="14.25" customHeight="1">
      <c r="A44" s="22"/>
      <c r="B44" s="22"/>
      <c r="C44" s="22"/>
      <c r="D44" s="22"/>
      <c r="E44" s="22"/>
      <c r="F44" s="22"/>
      <c r="G44" s="22"/>
      <c r="H44" s="22"/>
      <c r="I44" s="22"/>
    </row>
    <row r="45" ht="14.25" customHeight="1">
      <c r="A45" s="54" t="s">
        <v>7</v>
      </c>
      <c r="B45" s="55">
        <v>219800.0</v>
      </c>
      <c r="C45" s="22"/>
      <c r="D45" s="22"/>
      <c r="E45" s="22"/>
      <c r="F45" s="22"/>
      <c r="G45" s="22"/>
      <c r="H45" s="22"/>
      <c r="I45" s="22"/>
    </row>
    <row r="46" ht="14.25" customHeight="1">
      <c r="A46" s="1" t="s">
        <v>0</v>
      </c>
      <c r="B46" s="2">
        <v>3600.0</v>
      </c>
      <c r="C46" s="3">
        <v>1.0</v>
      </c>
      <c r="D46" s="22"/>
      <c r="E46" s="24"/>
      <c r="F46" s="22"/>
      <c r="G46" s="22"/>
      <c r="H46" s="22"/>
      <c r="I46" s="22"/>
    </row>
    <row r="47" ht="14.25" customHeight="1">
      <c r="A47" s="22"/>
      <c r="B47" s="22"/>
      <c r="C47" s="22"/>
      <c r="D47" s="22"/>
      <c r="E47" s="58"/>
      <c r="F47" s="22"/>
      <c r="G47" s="22"/>
      <c r="H47" s="22"/>
      <c r="I47" s="22"/>
    </row>
    <row r="48" ht="14.25" customHeight="1">
      <c r="A48" s="4" t="s">
        <v>1</v>
      </c>
      <c r="B48" s="9">
        <v>46196.0</v>
      </c>
      <c r="C48" s="22"/>
      <c r="D48" s="22"/>
      <c r="E48" s="22"/>
      <c r="F48" s="22"/>
      <c r="G48" s="22"/>
      <c r="H48" s="22"/>
      <c r="I48" s="22"/>
    </row>
    <row r="49" ht="14.25" customHeight="1">
      <c r="A49" s="6" t="s">
        <v>3</v>
      </c>
      <c r="B49" s="7">
        <v>11.12</v>
      </c>
      <c r="C49" s="22"/>
      <c r="D49" s="22"/>
      <c r="E49" s="58"/>
      <c r="F49" s="22"/>
      <c r="G49" s="22"/>
      <c r="H49" s="22"/>
      <c r="I49" s="22"/>
    </row>
    <row r="50" ht="14.25" customHeight="1">
      <c r="A50" s="6" t="s">
        <v>4</v>
      </c>
      <c r="B50" s="8">
        <v>40032.0</v>
      </c>
      <c r="C50" s="22"/>
      <c r="D50" s="22"/>
      <c r="E50" s="58"/>
      <c r="F50" s="22"/>
      <c r="G50" s="22"/>
      <c r="H50" s="22"/>
      <c r="I50" s="22"/>
    </row>
    <row r="51" ht="14.25" customHeight="1">
      <c r="A51" s="6" t="s">
        <v>5</v>
      </c>
      <c r="B51" s="10">
        <v>22.0</v>
      </c>
      <c r="C51" s="22"/>
      <c r="D51" s="22"/>
      <c r="E51" s="60"/>
      <c r="F51" s="22"/>
      <c r="G51" s="22"/>
      <c r="H51" s="22"/>
      <c r="I51" s="22"/>
    </row>
    <row r="52" ht="14.25" customHeight="1">
      <c r="A52" s="6" t="s">
        <v>6</v>
      </c>
      <c r="B52" s="8">
        <v>1819.6363636363637</v>
      </c>
      <c r="C52" s="22"/>
      <c r="D52" s="22"/>
      <c r="E52" s="61"/>
      <c r="F52" s="22"/>
      <c r="G52" s="22"/>
      <c r="H52" s="22"/>
      <c r="I52" s="22"/>
    </row>
    <row r="53" ht="14.25" customHeight="1">
      <c r="A53" s="6" t="s">
        <v>7</v>
      </c>
      <c r="B53" s="8">
        <v>219800.0</v>
      </c>
      <c r="C53" s="22"/>
      <c r="D53" s="22"/>
      <c r="E53" s="58"/>
      <c r="F53" s="22"/>
      <c r="G53" s="22"/>
      <c r="H53" s="22"/>
      <c r="I53" s="22"/>
    </row>
    <row r="54" ht="14.25" customHeight="1">
      <c r="A54" s="14" t="s">
        <v>9</v>
      </c>
      <c r="B54" s="15">
        <v>0.18212920837124658</v>
      </c>
      <c r="C54" s="22"/>
      <c r="D54" s="22"/>
      <c r="E54" s="63"/>
      <c r="F54" s="22"/>
      <c r="G54" s="22"/>
      <c r="H54" s="22"/>
      <c r="I54" s="22"/>
    </row>
    <row r="55" ht="14.25" customHeight="1">
      <c r="A55" s="6" t="s">
        <v>18</v>
      </c>
      <c r="B55" s="17">
        <v>5.490607513988809</v>
      </c>
      <c r="C55" s="22"/>
      <c r="D55" s="22"/>
      <c r="E55" s="22"/>
      <c r="F55" s="22"/>
      <c r="G55" s="22"/>
      <c r="H55" s="22"/>
      <c r="I55" s="22"/>
    </row>
    <row r="56" ht="14.25" customHeight="1">
      <c r="A56" s="6" t="s">
        <v>22</v>
      </c>
      <c r="B56" s="8">
        <v>219800.0</v>
      </c>
      <c r="C56" s="22"/>
      <c r="D56" s="22"/>
      <c r="E56" s="22"/>
      <c r="F56" s="22"/>
      <c r="G56" s="22"/>
      <c r="H56" s="22"/>
      <c r="I56" s="22"/>
    </row>
    <row r="57" ht="14.25" customHeight="1">
      <c r="A57" s="6" t="s">
        <v>29</v>
      </c>
      <c r="B57" s="19">
        <v>0.045454545454545456</v>
      </c>
      <c r="C57" s="22"/>
      <c r="D57" s="22"/>
      <c r="E57" s="22"/>
      <c r="F57" s="22"/>
      <c r="G57" s="22"/>
      <c r="H57" s="22"/>
      <c r="I57" s="22"/>
    </row>
    <row r="58" ht="14.25" customHeight="1"/>
    <row r="59" ht="14.25" customHeight="1"/>
    <row r="60" ht="14.25" customHeight="1">
      <c r="A60" s="20" t="s">
        <v>91</v>
      </c>
    </row>
    <row r="61" ht="14.25" customHeight="1">
      <c r="A61" s="69" t="s">
        <v>36</v>
      </c>
      <c r="B61" s="69" t="s">
        <v>39</v>
      </c>
      <c r="C61" s="69" t="s">
        <v>42</v>
      </c>
      <c r="D61" s="69" t="s">
        <v>43</v>
      </c>
      <c r="E61" s="69" t="s">
        <v>44</v>
      </c>
      <c r="F61" s="69" t="s">
        <v>45</v>
      </c>
      <c r="G61" s="69" t="s">
        <v>46</v>
      </c>
      <c r="H61" s="69" t="s">
        <v>47</v>
      </c>
      <c r="I61" s="69" t="s">
        <v>48</v>
      </c>
    </row>
    <row r="62" ht="14.25" customHeight="1">
      <c r="A62" s="22" t="s">
        <v>99</v>
      </c>
      <c r="B62" s="22" t="s">
        <v>99</v>
      </c>
      <c r="C62" s="22" t="s">
        <v>50</v>
      </c>
      <c r="D62" s="22">
        <v>5.0</v>
      </c>
      <c r="E62" s="22">
        <v>1.09</v>
      </c>
      <c r="F62" s="22">
        <v>5.45</v>
      </c>
      <c r="G62" s="22">
        <v>6414.0</v>
      </c>
      <c r="H62" s="22">
        <v>5384.0</v>
      </c>
      <c r="I62" s="22">
        <v>6.0</v>
      </c>
    </row>
    <row r="63" ht="14.25" customHeight="1">
      <c r="A63" s="22" t="s">
        <v>99</v>
      </c>
      <c r="B63" s="22" t="s">
        <v>99</v>
      </c>
      <c r="C63" s="22" t="s">
        <v>56</v>
      </c>
      <c r="D63" s="22">
        <v>8.0</v>
      </c>
      <c r="E63" s="22">
        <v>0.195</v>
      </c>
      <c r="F63" s="22">
        <v>1.56</v>
      </c>
      <c r="G63" s="22">
        <v>4228.0</v>
      </c>
      <c r="H63" s="22">
        <v>4075.0</v>
      </c>
      <c r="I63" s="22">
        <v>8.0</v>
      </c>
    </row>
    <row r="64" ht="14.25" customHeight="1">
      <c r="A64" s="22" t="s">
        <v>99</v>
      </c>
      <c r="B64" s="22" t="s">
        <v>99</v>
      </c>
      <c r="C64" s="22" t="s">
        <v>59</v>
      </c>
      <c r="D64" s="22">
        <v>6.0</v>
      </c>
      <c r="E64" s="22">
        <v>0.27333333</v>
      </c>
      <c r="F64" s="22">
        <v>1.64</v>
      </c>
      <c r="G64" s="22">
        <v>2979.0</v>
      </c>
      <c r="H64" s="22">
        <v>2979.0</v>
      </c>
      <c r="I64" s="22">
        <v>6.0</v>
      </c>
    </row>
    <row r="65" ht="14.25" customHeight="1">
      <c r="A65" s="22" t="s">
        <v>99</v>
      </c>
      <c r="B65" s="22" t="s">
        <v>99</v>
      </c>
      <c r="C65" s="22" t="s">
        <v>61</v>
      </c>
      <c r="D65" s="22">
        <v>1.0</v>
      </c>
      <c r="E65" s="22">
        <v>1.73</v>
      </c>
      <c r="F65" s="22">
        <v>1.73</v>
      </c>
      <c r="G65" s="22">
        <v>2870.0</v>
      </c>
      <c r="H65" s="22">
        <v>2848.0</v>
      </c>
      <c r="I65" s="22">
        <v>1.0</v>
      </c>
    </row>
    <row r="66" ht="14.25" customHeight="1">
      <c r="A66" s="22" t="s">
        <v>99</v>
      </c>
      <c r="B66" s="22" t="s">
        <v>99</v>
      </c>
      <c r="C66" s="22" t="s">
        <v>63</v>
      </c>
      <c r="D66" s="22">
        <v>12.0</v>
      </c>
      <c r="E66" s="22">
        <v>0.1425</v>
      </c>
      <c r="F66" s="22">
        <v>1.71</v>
      </c>
      <c r="G66" s="22">
        <v>4133.0</v>
      </c>
      <c r="H66" s="22">
        <v>4078.0</v>
      </c>
      <c r="I66" s="22">
        <v>12.0</v>
      </c>
    </row>
    <row r="67" ht="14.25" customHeight="1">
      <c r="A67" s="22"/>
      <c r="B67" s="22"/>
      <c r="C67" s="22"/>
      <c r="D67" s="22"/>
      <c r="E67" s="29" t="s">
        <v>65</v>
      </c>
      <c r="F67" s="29">
        <f>SUM(F62:F66)</f>
        <v>12.09</v>
      </c>
      <c r="G67" s="22"/>
      <c r="H67" s="22"/>
      <c r="I67" s="34">
        <f>SUM(I62:I66)</f>
        <v>33</v>
      </c>
    </row>
    <row r="68" ht="14.25" customHeight="1">
      <c r="A68" s="22"/>
      <c r="B68" s="22"/>
      <c r="C68" s="22"/>
      <c r="D68" s="22"/>
      <c r="E68" s="22"/>
      <c r="F68" s="22"/>
      <c r="G68" s="22"/>
      <c r="H68" s="22"/>
      <c r="I68" s="22"/>
    </row>
    <row r="69" ht="14.25" customHeight="1">
      <c r="A69" s="34" t="s">
        <v>66</v>
      </c>
      <c r="B69" s="22"/>
      <c r="C69" s="22"/>
      <c r="D69" s="22"/>
      <c r="E69" s="22"/>
      <c r="F69" s="22"/>
      <c r="G69" s="22"/>
      <c r="H69" s="22"/>
      <c r="I69" s="22"/>
    </row>
    <row r="70" ht="14.25" customHeight="1">
      <c r="A70" s="69" t="s">
        <v>67</v>
      </c>
      <c r="B70" s="69" t="s">
        <v>68</v>
      </c>
      <c r="C70" s="22"/>
      <c r="D70" s="22"/>
      <c r="E70" s="22"/>
      <c r="F70" s="22"/>
      <c r="G70" s="22"/>
      <c r="H70" s="22"/>
      <c r="I70" s="22"/>
    </row>
    <row r="71" ht="14.25" customHeight="1">
      <c r="A71" s="22" t="s">
        <v>70</v>
      </c>
      <c r="B71" s="22">
        <v>34.0</v>
      </c>
      <c r="C71" s="22"/>
      <c r="D71" s="22"/>
      <c r="E71" s="22"/>
      <c r="F71" s="22"/>
      <c r="G71" s="22"/>
      <c r="H71" s="22"/>
      <c r="I71" s="22"/>
    </row>
    <row r="72" ht="14.25" customHeight="1">
      <c r="A72" s="22"/>
      <c r="B72" s="22"/>
      <c r="C72" s="22"/>
      <c r="D72" s="22"/>
      <c r="E72" s="22"/>
      <c r="F72" s="22"/>
      <c r="G72" s="22"/>
      <c r="H72" s="22"/>
      <c r="I72" s="22"/>
    </row>
    <row r="73" ht="14.25" customHeight="1">
      <c r="A73" s="34" t="s">
        <v>72</v>
      </c>
      <c r="B73" s="22"/>
      <c r="C73" s="22"/>
      <c r="D73" s="22"/>
      <c r="E73" s="22"/>
      <c r="F73" s="22"/>
      <c r="G73" s="22"/>
      <c r="H73" s="22"/>
      <c r="I73" s="22"/>
    </row>
    <row r="74" ht="14.25" customHeight="1">
      <c r="A74" s="69" t="s">
        <v>67</v>
      </c>
      <c r="B74" s="69" t="s">
        <v>73</v>
      </c>
      <c r="C74" s="69" t="s">
        <v>74</v>
      </c>
      <c r="D74" s="69" t="s">
        <v>75</v>
      </c>
      <c r="E74" s="69" t="s">
        <v>68</v>
      </c>
      <c r="F74" s="22"/>
      <c r="G74" s="22"/>
      <c r="H74" s="22"/>
      <c r="I74" s="22"/>
    </row>
    <row r="75" ht="14.25" customHeight="1">
      <c r="A75" s="22" t="s">
        <v>70</v>
      </c>
      <c r="B75" s="22">
        <v>41.0</v>
      </c>
      <c r="C75" s="22">
        <v>1.0</v>
      </c>
      <c r="D75" s="22">
        <v>5.0</v>
      </c>
      <c r="E75" s="22">
        <v>47.0</v>
      </c>
      <c r="F75" s="22"/>
      <c r="G75" s="22"/>
      <c r="H75" s="22"/>
      <c r="I75" s="22"/>
    </row>
    <row r="76" ht="14.25" customHeight="1">
      <c r="A76" s="22"/>
      <c r="B76" s="22"/>
      <c r="C76" s="22"/>
      <c r="D76" s="22"/>
      <c r="E76" s="22"/>
      <c r="F76" s="22"/>
      <c r="G76" s="22"/>
      <c r="H76" s="22"/>
      <c r="I76" s="22"/>
    </row>
    <row r="77" ht="14.25" customHeight="1">
      <c r="A77" s="22"/>
      <c r="B77" s="22"/>
      <c r="C77" s="22"/>
      <c r="D77" s="22"/>
      <c r="E77" s="22"/>
      <c r="F77" s="22"/>
      <c r="G77" s="22"/>
      <c r="H77" s="22"/>
      <c r="I77" s="22"/>
    </row>
    <row r="78" ht="14.25" customHeight="1">
      <c r="A78" s="34" t="s">
        <v>77</v>
      </c>
      <c r="B78" s="22"/>
      <c r="C78" s="22"/>
      <c r="D78" s="22"/>
      <c r="E78" s="22"/>
      <c r="F78" s="22"/>
      <c r="G78" s="22"/>
      <c r="H78" s="22"/>
      <c r="I78" s="22"/>
    </row>
    <row r="79" ht="14.25" customHeight="1">
      <c r="A79" s="91" t="s">
        <v>79</v>
      </c>
      <c r="B79" s="91" t="s">
        <v>68</v>
      </c>
      <c r="C79" s="22"/>
      <c r="D79" s="22"/>
      <c r="E79" s="22"/>
      <c r="F79" s="22"/>
      <c r="G79" s="22"/>
      <c r="H79" s="22"/>
      <c r="I79" s="22"/>
    </row>
    <row r="80" ht="14.25" customHeight="1">
      <c r="A80" s="49" t="s">
        <v>83</v>
      </c>
      <c r="B80" s="49">
        <v>10.0</v>
      </c>
      <c r="C80" s="22"/>
      <c r="D80" s="22"/>
      <c r="E80" s="22"/>
      <c r="F80" s="22"/>
      <c r="G80" s="22"/>
      <c r="H80" s="22"/>
      <c r="I80" s="22"/>
    </row>
    <row r="81" ht="14.25" customHeight="1">
      <c r="A81" s="49" t="s">
        <v>126</v>
      </c>
      <c r="B81" s="49">
        <v>8.0</v>
      </c>
      <c r="C81" s="22"/>
      <c r="D81" s="22"/>
      <c r="E81" s="22"/>
      <c r="F81" s="22"/>
      <c r="G81" s="22"/>
      <c r="H81" s="22"/>
      <c r="I81" s="22"/>
    </row>
    <row r="82" ht="14.25" customHeight="1">
      <c r="A82" s="49" t="s">
        <v>133</v>
      </c>
      <c r="B82" s="49">
        <v>6.0</v>
      </c>
      <c r="C82" s="22"/>
      <c r="D82" s="22"/>
      <c r="E82" s="22"/>
      <c r="F82" s="22"/>
      <c r="G82" s="22"/>
      <c r="H82" s="22"/>
      <c r="I82" s="22"/>
    </row>
    <row r="83" ht="14.25" customHeight="1">
      <c r="A83" s="49" t="s">
        <v>88</v>
      </c>
      <c r="B83" s="49">
        <v>4.0</v>
      </c>
      <c r="C83" s="22"/>
      <c r="D83" s="22"/>
      <c r="E83" s="22"/>
      <c r="F83" s="22"/>
      <c r="G83" s="22"/>
      <c r="H83" s="22"/>
      <c r="I83" s="22"/>
    </row>
    <row r="84" ht="14.25" customHeight="1">
      <c r="A84" s="49" t="s">
        <v>134</v>
      </c>
      <c r="B84" s="49">
        <v>1.0</v>
      </c>
      <c r="C84" s="22"/>
      <c r="D84" s="22"/>
      <c r="E84" s="22"/>
      <c r="F84" s="22"/>
      <c r="G84" s="22"/>
      <c r="H84" s="22"/>
      <c r="I84" s="22"/>
    </row>
    <row r="85" ht="14.25" customHeight="1">
      <c r="A85" s="49" t="s">
        <v>86</v>
      </c>
      <c r="B85" s="49">
        <v>1.0</v>
      </c>
      <c r="C85" s="22"/>
      <c r="D85" s="22"/>
      <c r="E85" s="22"/>
      <c r="F85" s="22"/>
      <c r="G85" s="22"/>
      <c r="H85" s="22"/>
      <c r="I85" s="22"/>
    </row>
    <row r="86" ht="14.25" customHeight="1">
      <c r="A86" s="49" t="s">
        <v>84</v>
      </c>
      <c r="B86" s="49">
        <v>1.0</v>
      </c>
      <c r="C86" s="22"/>
      <c r="D86" s="22"/>
      <c r="E86" s="22"/>
      <c r="F86" s="22"/>
      <c r="G86" s="22"/>
      <c r="H86" s="22"/>
      <c r="I86" s="22"/>
    </row>
    <row r="87" ht="14.25" customHeight="1">
      <c r="A87" s="22"/>
      <c r="B87" s="22"/>
      <c r="C87" s="22"/>
      <c r="D87" s="22"/>
      <c r="E87" s="22"/>
      <c r="F87" s="22"/>
      <c r="G87" s="22"/>
      <c r="H87" s="22"/>
      <c r="I87" s="22"/>
    </row>
    <row r="88" ht="14.25" customHeight="1">
      <c r="A88" s="54" t="s">
        <v>7</v>
      </c>
      <c r="B88" s="55">
        <v>943400.0</v>
      </c>
      <c r="C88" s="22"/>
      <c r="D88" s="22"/>
      <c r="E88" s="22"/>
      <c r="F88" s="22"/>
      <c r="G88" s="22"/>
      <c r="H88" s="22"/>
      <c r="I88" s="22"/>
    </row>
    <row r="89" ht="14.25" customHeight="1">
      <c r="A89" s="1" t="s">
        <v>0</v>
      </c>
      <c r="B89" s="2">
        <v>3600.0</v>
      </c>
      <c r="C89" s="3">
        <v>1.0</v>
      </c>
      <c r="D89" s="22"/>
      <c r="E89" s="22"/>
      <c r="F89" s="22"/>
      <c r="G89" s="22"/>
      <c r="H89" s="22"/>
      <c r="I89" s="22"/>
    </row>
    <row r="90" ht="14.25" customHeight="1">
      <c r="A90" s="22"/>
      <c r="B90" s="22"/>
      <c r="C90" s="22"/>
      <c r="D90" s="22"/>
      <c r="E90" s="22"/>
      <c r="F90" s="22"/>
      <c r="G90" s="22"/>
      <c r="H90" s="22"/>
      <c r="I90" s="22"/>
    </row>
    <row r="91" ht="14.25" customHeight="1">
      <c r="A91" s="4" t="s">
        <v>1</v>
      </c>
      <c r="B91" s="9">
        <v>46197.0</v>
      </c>
      <c r="C91" s="22"/>
      <c r="D91" s="22"/>
      <c r="E91" s="22"/>
      <c r="F91" s="22"/>
      <c r="G91" s="22"/>
      <c r="H91" s="22"/>
      <c r="I91" s="22"/>
    </row>
    <row r="92" ht="14.25" customHeight="1">
      <c r="A92" s="6" t="s">
        <v>3</v>
      </c>
      <c r="B92" s="7">
        <v>12.09</v>
      </c>
      <c r="C92" s="22"/>
      <c r="D92" s="22"/>
      <c r="E92" s="22"/>
      <c r="F92" s="22"/>
      <c r="G92" s="22"/>
      <c r="H92" s="22"/>
      <c r="I92" s="22"/>
    </row>
    <row r="93" ht="14.25" customHeight="1">
      <c r="A93" s="6" t="s">
        <v>4</v>
      </c>
      <c r="B93" s="8">
        <v>43524.0</v>
      </c>
      <c r="C93" s="22"/>
      <c r="D93" s="22"/>
      <c r="E93" s="22"/>
      <c r="F93" s="22"/>
      <c r="G93" s="22"/>
      <c r="H93" s="22"/>
      <c r="I93" s="22"/>
    </row>
    <row r="94" ht="14.25" customHeight="1">
      <c r="A94" s="6" t="s">
        <v>5</v>
      </c>
      <c r="B94" s="10">
        <v>33.0</v>
      </c>
      <c r="C94" s="22"/>
      <c r="D94" s="22"/>
      <c r="E94" s="22"/>
      <c r="F94" s="22"/>
      <c r="G94" s="22"/>
      <c r="H94" s="22"/>
      <c r="I94" s="22"/>
    </row>
    <row r="95" ht="14.25" customHeight="1">
      <c r="A95" s="6" t="s">
        <v>6</v>
      </c>
      <c r="B95" s="8">
        <v>1318.909090909091</v>
      </c>
      <c r="C95" s="22"/>
      <c r="D95" s="22"/>
      <c r="E95" s="22"/>
      <c r="F95" s="22"/>
      <c r="G95" s="22"/>
      <c r="H95" s="22"/>
      <c r="I95" s="22"/>
    </row>
    <row r="96" ht="14.25" customHeight="1">
      <c r="A96" s="6" t="s">
        <v>7</v>
      </c>
      <c r="B96" s="8">
        <v>943400.0</v>
      </c>
      <c r="C96" s="22"/>
      <c r="D96" s="22"/>
      <c r="E96" s="22"/>
      <c r="F96" s="22"/>
      <c r="G96" s="22"/>
      <c r="H96" s="22"/>
      <c r="I96" s="22"/>
    </row>
    <row r="97" ht="14.25" customHeight="1">
      <c r="A97" s="14" t="s">
        <v>9</v>
      </c>
      <c r="B97" s="15">
        <v>0.04613525545897816</v>
      </c>
      <c r="C97" s="22"/>
      <c r="D97" s="22"/>
      <c r="E97" s="22"/>
      <c r="F97" s="22"/>
      <c r="G97" s="22"/>
      <c r="H97" s="22"/>
      <c r="I97" s="22"/>
    </row>
    <row r="98" ht="14.25" customHeight="1">
      <c r="A98" s="6" t="s">
        <v>18</v>
      </c>
      <c r="B98" s="17">
        <v>21.675397481849096</v>
      </c>
      <c r="C98" s="22"/>
      <c r="D98" s="22"/>
      <c r="E98" s="22"/>
      <c r="F98" s="22"/>
      <c r="G98" s="22"/>
      <c r="H98" s="22"/>
      <c r="I98" s="22"/>
    </row>
    <row r="99" ht="14.25" customHeight="1">
      <c r="A99" s="6" t="s">
        <v>22</v>
      </c>
      <c r="B99" s="8">
        <v>943400.0</v>
      </c>
      <c r="C99" s="22"/>
      <c r="D99" s="22"/>
      <c r="E99" s="22"/>
      <c r="F99" s="22"/>
      <c r="G99" s="22"/>
      <c r="H99" s="22"/>
      <c r="I99" s="22"/>
    </row>
    <row r="100" ht="14.25" customHeight="1">
      <c r="A100" s="6" t="s">
        <v>29</v>
      </c>
      <c r="B100" s="19">
        <v>0.030303030303030304</v>
      </c>
      <c r="C100" s="22"/>
      <c r="D100" s="22"/>
      <c r="E100" s="22"/>
      <c r="F100" s="22"/>
      <c r="G100" s="22"/>
      <c r="H100" s="22"/>
      <c r="I100" s="22"/>
    </row>
    <row r="101" ht="14.25" customHeight="1">
      <c r="A101" s="22"/>
      <c r="B101" s="22"/>
      <c r="C101" s="22"/>
      <c r="D101" s="22"/>
      <c r="E101" s="22"/>
      <c r="F101" s="22"/>
      <c r="G101" s="22"/>
      <c r="H101" s="22"/>
      <c r="I101" s="22"/>
    </row>
    <row r="102" ht="14.25" customHeight="1">
      <c r="A102" s="22"/>
      <c r="B102" s="22"/>
      <c r="C102" s="22"/>
      <c r="D102" s="22"/>
      <c r="E102" s="22"/>
      <c r="F102" s="22"/>
      <c r="G102" s="22"/>
      <c r="H102" s="22"/>
      <c r="I102" s="22"/>
    </row>
    <row r="103" ht="14.25" customHeight="1">
      <c r="A103" s="20" t="s">
        <v>149</v>
      </c>
      <c r="B103" s="22"/>
      <c r="C103" s="22"/>
      <c r="D103" s="22"/>
      <c r="E103" s="22"/>
      <c r="F103" s="22"/>
      <c r="G103" s="22"/>
      <c r="H103" s="22"/>
      <c r="I103" s="22"/>
    </row>
    <row r="104" ht="14.25" customHeight="1">
      <c r="A104" s="69" t="s">
        <v>36</v>
      </c>
      <c r="B104" s="69" t="s">
        <v>39</v>
      </c>
      <c r="C104" s="69" t="s">
        <v>42</v>
      </c>
      <c r="D104" s="69" t="s">
        <v>43</v>
      </c>
      <c r="E104" s="69" t="s">
        <v>44</v>
      </c>
      <c r="F104" s="69" t="s">
        <v>45</v>
      </c>
      <c r="G104" s="69" t="s">
        <v>46</v>
      </c>
      <c r="H104" s="69" t="s">
        <v>47</v>
      </c>
      <c r="I104" s="69" t="s">
        <v>111</v>
      </c>
    </row>
    <row r="105" ht="14.25" customHeight="1">
      <c r="A105" s="22" t="s">
        <v>150</v>
      </c>
      <c r="B105" s="22" t="s">
        <v>150</v>
      </c>
      <c r="C105" s="22" t="s">
        <v>50</v>
      </c>
      <c r="D105" s="22">
        <v>15.0</v>
      </c>
      <c r="E105" s="22">
        <v>0.52333333</v>
      </c>
      <c r="F105" s="22">
        <v>7.85</v>
      </c>
      <c r="G105" s="22">
        <v>8436.0</v>
      </c>
      <c r="H105" s="22">
        <v>7178.0</v>
      </c>
      <c r="I105" s="22">
        <v>16.0</v>
      </c>
    </row>
    <row r="106" ht="14.25" customHeight="1">
      <c r="A106" s="22" t="s">
        <v>150</v>
      </c>
      <c r="B106" s="22" t="s">
        <v>150</v>
      </c>
      <c r="C106" s="22" t="s">
        <v>56</v>
      </c>
      <c r="D106" s="22">
        <v>2.0</v>
      </c>
      <c r="E106" s="22">
        <v>0.74</v>
      </c>
      <c r="F106" s="22">
        <v>1.48</v>
      </c>
      <c r="G106" s="22">
        <v>2208.0</v>
      </c>
      <c r="H106" s="22">
        <v>2180.0</v>
      </c>
      <c r="I106" s="22">
        <v>2.0</v>
      </c>
    </row>
    <row r="107" ht="14.25" customHeight="1">
      <c r="A107" s="22" t="s">
        <v>150</v>
      </c>
      <c r="B107" s="22" t="s">
        <v>150</v>
      </c>
      <c r="C107" s="22" t="s">
        <v>59</v>
      </c>
      <c r="D107" s="22">
        <v>3.0</v>
      </c>
      <c r="E107" s="22">
        <v>0.51333333</v>
      </c>
      <c r="F107" s="22">
        <v>1.54</v>
      </c>
      <c r="G107" s="22">
        <v>2309.0</v>
      </c>
      <c r="H107" s="22">
        <v>2267.0</v>
      </c>
      <c r="I107" s="22">
        <v>3.0</v>
      </c>
    </row>
    <row r="108" ht="14.25" customHeight="1">
      <c r="A108" s="22" t="s">
        <v>150</v>
      </c>
      <c r="B108" s="22" t="s">
        <v>150</v>
      </c>
      <c r="C108" s="22" t="s">
        <v>61</v>
      </c>
      <c r="D108" s="22">
        <v>3.0</v>
      </c>
      <c r="E108" s="22">
        <v>0.5</v>
      </c>
      <c r="F108" s="22">
        <v>1.5</v>
      </c>
      <c r="G108" s="22">
        <v>1784.0</v>
      </c>
      <c r="H108" s="22">
        <v>1784.0</v>
      </c>
      <c r="I108" s="22">
        <v>3.0</v>
      </c>
    </row>
    <row r="109" ht="14.25" customHeight="1">
      <c r="A109" s="22" t="s">
        <v>150</v>
      </c>
      <c r="B109" s="22" t="s">
        <v>150</v>
      </c>
      <c r="C109" s="22" t="s">
        <v>63</v>
      </c>
      <c r="D109" s="22">
        <v>4.0</v>
      </c>
      <c r="E109" s="22">
        <v>0.355</v>
      </c>
      <c r="F109" s="22">
        <v>1.42</v>
      </c>
      <c r="G109" s="22">
        <v>2343.0</v>
      </c>
      <c r="H109" s="22">
        <v>2266.0</v>
      </c>
      <c r="I109" s="22">
        <v>4.0</v>
      </c>
    </row>
    <row r="110" ht="14.25" customHeight="1">
      <c r="A110" s="22"/>
      <c r="B110" s="22"/>
      <c r="C110" s="22"/>
      <c r="D110" s="22"/>
      <c r="E110" s="107" t="s">
        <v>65</v>
      </c>
      <c r="F110" s="107">
        <f>SUM(F105:F109)</f>
        <v>13.79</v>
      </c>
      <c r="G110" s="22"/>
      <c r="H110" s="22"/>
      <c r="I110" s="85">
        <f>SUM(I105:I109)</f>
        <v>28</v>
      </c>
    </row>
    <row r="111" ht="14.25" customHeight="1">
      <c r="A111" s="22"/>
      <c r="B111" s="22"/>
      <c r="C111" s="22"/>
      <c r="D111" s="22"/>
      <c r="E111" s="22"/>
      <c r="F111" s="22"/>
      <c r="G111" s="22"/>
      <c r="H111" s="22"/>
      <c r="I111" s="22"/>
    </row>
    <row r="112" ht="14.25" customHeight="1">
      <c r="A112" s="34" t="s">
        <v>66</v>
      </c>
      <c r="B112" s="22"/>
      <c r="C112" s="22"/>
      <c r="D112" s="22"/>
      <c r="E112" s="22"/>
      <c r="F112" s="22"/>
      <c r="G112" s="22"/>
      <c r="H112" s="22"/>
      <c r="I112" s="22"/>
    </row>
    <row r="113" ht="14.25" customHeight="1">
      <c r="A113" s="69" t="s">
        <v>67</v>
      </c>
      <c r="B113" s="69" t="s">
        <v>68</v>
      </c>
      <c r="C113" s="22"/>
      <c r="D113" s="22"/>
      <c r="E113" s="22"/>
      <c r="F113" s="22"/>
      <c r="G113" s="22"/>
      <c r="H113" s="22"/>
      <c r="I113" s="22"/>
    </row>
    <row r="114" ht="14.25" customHeight="1">
      <c r="A114" s="22" t="s">
        <v>70</v>
      </c>
      <c r="B114" s="22">
        <v>26.0</v>
      </c>
      <c r="C114" s="22"/>
      <c r="D114" s="22"/>
      <c r="E114" s="22"/>
      <c r="F114" s="22"/>
      <c r="G114" s="22"/>
      <c r="H114" s="22"/>
      <c r="I114" s="22"/>
    </row>
    <row r="115" ht="14.25" customHeight="1">
      <c r="A115" s="22" t="s">
        <v>121</v>
      </c>
      <c r="B115" s="22">
        <v>3.0</v>
      </c>
      <c r="C115" s="22"/>
      <c r="D115" s="22"/>
      <c r="E115" s="22"/>
      <c r="F115" s="22"/>
      <c r="G115" s="22"/>
      <c r="H115" s="22"/>
      <c r="I115" s="22"/>
    </row>
    <row r="116" ht="14.25" customHeight="1">
      <c r="A116" s="22" t="s">
        <v>120</v>
      </c>
      <c r="B116" s="22">
        <v>3.0</v>
      </c>
      <c r="C116" s="22"/>
      <c r="D116" s="22"/>
      <c r="E116" s="22"/>
      <c r="F116" s="22"/>
      <c r="G116" s="22"/>
      <c r="H116" s="22"/>
      <c r="I116" s="22"/>
    </row>
    <row r="117" ht="14.25" customHeight="1">
      <c r="A117" s="22" t="s">
        <v>69</v>
      </c>
      <c r="B117" s="22">
        <v>2.0</v>
      </c>
      <c r="C117" s="22"/>
      <c r="D117" s="22"/>
      <c r="E117" s="22"/>
      <c r="F117" s="22"/>
      <c r="G117" s="22"/>
      <c r="H117" s="22"/>
      <c r="I117" s="22"/>
    </row>
    <row r="118" ht="14.25" customHeight="1">
      <c r="A118" s="22" t="s">
        <v>122</v>
      </c>
      <c r="B118" s="22">
        <v>2.0</v>
      </c>
      <c r="C118" s="22"/>
      <c r="D118" s="22"/>
      <c r="E118" s="22"/>
      <c r="F118" s="22"/>
      <c r="G118" s="22"/>
      <c r="H118" s="22"/>
      <c r="I118" s="22"/>
    </row>
    <row r="119" ht="14.25" customHeight="1">
      <c r="A119" s="22"/>
      <c r="B119" s="85">
        <f>SUM(B114:B118)</f>
        <v>36</v>
      </c>
      <c r="C119" s="22"/>
      <c r="D119" s="22"/>
      <c r="E119" s="22"/>
      <c r="F119" s="22"/>
      <c r="G119" s="22"/>
      <c r="H119" s="22"/>
      <c r="I119" s="22"/>
    </row>
    <row r="120" ht="14.25" customHeight="1">
      <c r="A120" s="22"/>
      <c r="B120" s="22"/>
      <c r="C120" s="22"/>
      <c r="D120" s="22"/>
      <c r="E120" s="22"/>
      <c r="F120" s="22"/>
      <c r="G120" s="22"/>
      <c r="H120" s="22"/>
      <c r="I120" s="22"/>
    </row>
    <row r="121" ht="14.25" customHeight="1">
      <c r="A121" s="34" t="s">
        <v>72</v>
      </c>
      <c r="B121" s="22"/>
      <c r="C121" s="22"/>
      <c r="D121" s="22"/>
      <c r="E121" s="22"/>
      <c r="F121" s="22"/>
      <c r="G121" s="22"/>
      <c r="H121" s="22"/>
      <c r="I121" s="22"/>
    </row>
    <row r="122" ht="14.25" customHeight="1">
      <c r="A122" s="69" t="s">
        <v>67</v>
      </c>
      <c r="B122" s="69" t="s">
        <v>73</v>
      </c>
      <c r="C122" s="69" t="s">
        <v>74</v>
      </c>
      <c r="D122" s="69" t="s">
        <v>75</v>
      </c>
      <c r="E122" s="69" t="s">
        <v>68</v>
      </c>
      <c r="F122" s="22"/>
      <c r="G122" s="22"/>
      <c r="H122" s="22"/>
      <c r="I122" s="22"/>
    </row>
    <row r="123" ht="14.25" customHeight="1">
      <c r="A123" s="22" t="s">
        <v>70</v>
      </c>
      <c r="B123" s="22">
        <v>23.0</v>
      </c>
      <c r="C123" s="22">
        <v>3.0</v>
      </c>
      <c r="D123" s="22">
        <v>0.0</v>
      </c>
      <c r="E123" s="22">
        <v>26.0</v>
      </c>
      <c r="F123" s="22"/>
      <c r="G123" s="22"/>
      <c r="H123" s="22"/>
      <c r="I123" s="22"/>
    </row>
    <row r="124" ht="14.25" customHeight="1">
      <c r="A124" s="22" t="s">
        <v>69</v>
      </c>
      <c r="B124" s="22">
        <v>21.0</v>
      </c>
      <c r="C124" s="22">
        <v>0.0</v>
      </c>
      <c r="D124" s="22">
        <v>4.0</v>
      </c>
      <c r="E124" s="22">
        <v>25.0</v>
      </c>
      <c r="F124" s="22"/>
      <c r="G124" s="22"/>
      <c r="H124" s="22"/>
      <c r="I124" s="22"/>
    </row>
    <row r="125" ht="14.25" customHeight="1">
      <c r="A125" s="22" t="s">
        <v>130</v>
      </c>
      <c r="B125" s="22">
        <v>7.0</v>
      </c>
      <c r="C125" s="22">
        <v>4.0</v>
      </c>
      <c r="D125" s="22">
        <v>0.0</v>
      </c>
      <c r="E125" s="22">
        <v>11.0</v>
      </c>
      <c r="F125" s="22"/>
      <c r="G125" s="22"/>
      <c r="H125" s="22"/>
      <c r="I125" s="22"/>
    </row>
    <row r="126" ht="14.25" customHeight="1">
      <c r="A126" s="22" t="s">
        <v>153</v>
      </c>
      <c r="B126" s="22">
        <v>2.0</v>
      </c>
      <c r="C126" s="22">
        <v>0.0</v>
      </c>
      <c r="D126" s="22">
        <v>0.0</v>
      </c>
      <c r="E126" s="22">
        <v>2.0</v>
      </c>
      <c r="F126" s="22"/>
      <c r="G126" s="22"/>
      <c r="H126" s="22"/>
      <c r="I126" s="22"/>
    </row>
    <row r="127" ht="14.25" customHeight="1">
      <c r="A127" s="22"/>
      <c r="B127" s="22"/>
      <c r="C127" s="22"/>
      <c r="D127" s="22"/>
      <c r="E127" s="22"/>
      <c r="F127" s="22"/>
      <c r="G127" s="22"/>
      <c r="H127" s="22"/>
      <c r="I127" s="22"/>
    </row>
    <row r="128" ht="14.25" customHeight="1">
      <c r="A128" s="22"/>
      <c r="B128" s="22"/>
      <c r="C128" s="22"/>
      <c r="D128" s="22"/>
      <c r="E128" s="22"/>
      <c r="F128" s="22"/>
      <c r="G128" s="22"/>
      <c r="H128" s="22"/>
      <c r="I128" s="22"/>
    </row>
    <row r="129" ht="14.25" customHeight="1">
      <c r="A129" s="34" t="s">
        <v>77</v>
      </c>
      <c r="B129" s="22"/>
      <c r="C129" s="22"/>
      <c r="D129" s="22"/>
      <c r="E129" s="22"/>
      <c r="F129" s="22"/>
      <c r="G129" s="22"/>
      <c r="H129" s="22"/>
      <c r="I129" s="22"/>
    </row>
    <row r="130" ht="14.25" customHeight="1">
      <c r="A130" s="91" t="s">
        <v>79</v>
      </c>
      <c r="B130" s="91" t="s">
        <v>68</v>
      </c>
      <c r="C130" s="22"/>
      <c r="D130" s="22"/>
      <c r="E130" s="22"/>
      <c r="F130" s="22"/>
      <c r="G130" s="22"/>
      <c r="H130" s="22"/>
      <c r="I130" s="22"/>
    </row>
    <row r="131" ht="14.25" customHeight="1">
      <c r="A131" s="49" t="s">
        <v>133</v>
      </c>
      <c r="B131" s="49">
        <v>9.0</v>
      </c>
      <c r="C131" s="22"/>
      <c r="D131" s="22"/>
      <c r="E131" s="22"/>
      <c r="F131" s="22"/>
      <c r="G131" s="22"/>
      <c r="H131" s="22"/>
      <c r="I131" s="22"/>
    </row>
    <row r="132" ht="14.25" customHeight="1">
      <c r="A132" s="49" t="s">
        <v>86</v>
      </c>
      <c r="B132" s="49">
        <v>8.0</v>
      </c>
      <c r="C132" s="22"/>
      <c r="D132" s="22"/>
      <c r="E132" s="22"/>
      <c r="F132" s="22"/>
      <c r="G132" s="22"/>
      <c r="H132" s="22"/>
      <c r="I132" s="22"/>
    </row>
    <row r="133" ht="14.25" customHeight="1">
      <c r="A133" s="49" t="s">
        <v>82</v>
      </c>
      <c r="B133" s="49">
        <v>7.0</v>
      </c>
      <c r="C133" s="22"/>
      <c r="D133" s="22"/>
      <c r="E133" s="22"/>
      <c r="F133" s="22"/>
      <c r="G133" s="22"/>
      <c r="H133" s="22"/>
      <c r="I133" s="22"/>
    </row>
    <row r="134" ht="14.25" customHeight="1">
      <c r="A134" s="49" t="s">
        <v>84</v>
      </c>
      <c r="B134" s="49">
        <v>5.0</v>
      </c>
      <c r="C134" s="22"/>
      <c r="D134" s="22"/>
      <c r="E134" s="22"/>
      <c r="F134" s="22"/>
      <c r="G134" s="22"/>
      <c r="H134" s="22"/>
      <c r="I134" s="22"/>
    </row>
    <row r="135" ht="14.25" customHeight="1">
      <c r="A135" s="49" t="s">
        <v>83</v>
      </c>
      <c r="B135" s="49">
        <v>4.0</v>
      </c>
      <c r="C135" s="22"/>
      <c r="D135" s="22"/>
      <c r="E135" s="22"/>
      <c r="F135" s="22"/>
      <c r="G135" s="22"/>
      <c r="H135" s="22"/>
      <c r="I135" s="22"/>
    </row>
    <row r="136" ht="14.25" customHeight="1">
      <c r="A136" s="49" t="s">
        <v>88</v>
      </c>
      <c r="B136" s="49">
        <v>1.0</v>
      </c>
      <c r="C136" s="22"/>
      <c r="D136" s="22"/>
      <c r="E136" s="22"/>
      <c r="F136" s="22"/>
      <c r="G136" s="22"/>
      <c r="H136" s="22"/>
      <c r="I136" s="22"/>
    </row>
    <row r="137" ht="14.25" customHeight="1">
      <c r="A137" s="22"/>
      <c r="B137" s="22"/>
      <c r="C137" s="22"/>
      <c r="D137" s="22"/>
      <c r="E137" s="22"/>
      <c r="F137" s="22"/>
      <c r="G137" s="22"/>
      <c r="H137" s="22"/>
      <c r="I137" s="22"/>
    </row>
    <row r="138" ht="14.25" customHeight="1">
      <c r="A138" s="54" t="s">
        <v>7</v>
      </c>
      <c r="B138" s="55"/>
      <c r="C138" s="22"/>
      <c r="D138" s="22"/>
      <c r="E138" s="22"/>
      <c r="F138" s="22"/>
      <c r="G138" s="22"/>
      <c r="H138" s="22"/>
      <c r="I138" s="22"/>
    </row>
    <row r="139" ht="14.25" customHeight="1">
      <c r="A139" s="1" t="s">
        <v>0</v>
      </c>
      <c r="B139" s="2">
        <v>3600.0</v>
      </c>
      <c r="C139" s="3">
        <v>1.0</v>
      </c>
      <c r="D139" s="22"/>
      <c r="E139" s="22"/>
      <c r="F139" s="22"/>
      <c r="G139" s="22"/>
      <c r="H139" s="22"/>
      <c r="I139" s="22"/>
    </row>
    <row r="140" ht="14.25" customHeight="1">
      <c r="A140" s="22"/>
      <c r="B140" s="22"/>
      <c r="C140" s="22"/>
      <c r="D140" s="22"/>
      <c r="E140" s="22"/>
      <c r="F140" s="22"/>
      <c r="G140" s="22"/>
      <c r="H140" s="22"/>
      <c r="I140" s="22"/>
    </row>
    <row r="141" ht="14.25" customHeight="1">
      <c r="A141" s="4" t="s">
        <v>1</v>
      </c>
      <c r="B141" s="9">
        <v>46198.0</v>
      </c>
      <c r="C141" s="22"/>
      <c r="D141" s="22"/>
      <c r="E141" s="22"/>
      <c r="F141" s="22"/>
      <c r="G141" s="22"/>
      <c r="H141" s="22"/>
      <c r="I141" s="22"/>
    </row>
    <row r="142" ht="14.25" customHeight="1">
      <c r="A142" s="6" t="s">
        <v>3</v>
      </c>
      <c r="B142" s="109">
        <v>13.790000000000001</v>
      </c>
      <c r="C142" s="22"/>
      <c r="D142" s="22"/>
      <c r="E142" s="22"/>
      <c r="F142" s="22"/>
      <c r="G142" s="22"/>
      <c r="H142" s="22"/>
      <c r="I142" s="22"/>
    </row>
    <row r="143" ht="14.25" customHeight="1">
      <c r="A143" s="6" t="s">
        <v>4</v>
      </c>
      <c r="B143" s="98">
        <v>49644.0</v>
      </c>
      <c r="C143" s="22"/>
      <c r="D143" s="22"/>
      <c r="E143" s="22"/>
      <c r="F143" s="22"/>
      <c r="G143" s="22"/>
      <c r="H143" s="22"/>
      <c r="I143" s="22"/>
    </row>
    <row r="144" ht="14.25" customHeight="1">
      <c r="A144" s="6" t="s">
        <v>5</v>
      </c>
      <c r="B144" s="110">
        <v>28.0</v>
      </c>
      <c r="C144" s="22"/>
      <c r="D144" s="22"/>
      <c r="E144" s="22"/>
      <c r="F144" s="22"/>
      <c r="G144" s="22"/>
      <c r="H144" s="22"/>
      <c r="I144" s="22"/>
    </row>
    <row r="145" ht="14.25" customHeight="1">
      <c r="A145" s="6" t="s">
        <v>6</v>
      </c>
      <c r="B145" s="98">
        <v>1773.0</v>
      </c>
      <c r="C145" s="22"/>
      <c r="D145" s="22"/>
      <c r="E145" s="22"/>
      <c r="F145" s="22"/>
      <c r="G145" s="22"/>
      <c r="H145" s="22"/>
      <c r="I145" s="22"/>
    </row>
    <row r="146" ht="14.25" customHeight="1">
      <c r="A146" s="6" t="s">
        <v>7</v>
      </c>
      <c r="B146" s="8">
        <v>0.0</v>
      </c>
      <c r="C146" s="22"/>
      <c r="D146" s="22"/>
      <c r="E146" s="22"/>
      <c r="F146" s="22"/>
      <c r="G146" s="22"/>
      <c r="H146" s="22"/>
      <c r="I146" s="22"/>
    </row>
    <row r="147" ht="14.25" customHeight="1">
      <c r="A147" s="14" t="s">
        <v>9</v>
      </c>
      <c r="B147" s="15" t="s">
        <v>60</v>
      </c>
      <c r="C147" s="22"/>
      <c r="D147" s="22"/>
      <c r="E147" s="22"/>
      <c r="F147" s="22"/>
      <c r="G147" s="22"/>
      <c r="H147" s="22"/>
      <c r="I147" s="22"/>
    </row>
    <row r="148" ht="14.25" customHeight="1">
      <c r="A148" s="6" t="s">
        <v>18</v>
      </c>
      <c r="B148" s="17">
        <v>0.0</v>
      </c>
      <c r="C148" s="22"/>
      <c r="D148" s="22"/>
      <c r="E148" s="22"/>
      <c r="F148" s="22"/>
      <c r="G148" s="22"/>
      <c r="H148" s="22"/>
      <c r="I148" s="22"/>
    </row>
    <row r="149" ht="14.25" customHeight="1">
      <c r="A149" s="6" t="s">
        <v>22</v>
      </c>
      <c r="B149" s="8">
        <v>0.0</v>
      </c>
      <c r="C149" s="22"/>
      <c r="D149" s="22"/>
      <c r="E149" s="22"/>
      <c r="F149" s="22"/>
      <c r="G149" s="22"/>
      <c r="H149" s="22"/>
      <c r="I149" s="22"/>
    </row>
    <row r="150" ht="14.25" customHeight="1">
      <c r="A150" s="6" t="s">
        <v>29</v>
      </c>
      <c r="B150" s="19">
        <v>0.03571428571428571</v>
      </c>
      <c r="C150" s="22"/>
      <c r="D150" s="22"/>
      <c r="E150" s="22"/>
      <c r="F150" s="22"/>
      <c r="G150" s="22"/>
      <c r="H150" s="22"/>
      <c r="I150" s="22"/>
    </row>
    <row r="151" ht="14.25" customHeight="1"/>
    <row r="152" ht="14.25" customHeight="1"/>
    <row r="153" ht="14.25" customHeight="1">
      <c r="A153" s="20" t="s">
        <v>156</v>
      </c>
      <c r="B153" s="22"/>
      <c r="C153" s="22"/>
      <c r="D153" s="22"/>
      <c r="E153" s="22"/>
      <c r="F153" s="22"/>
      <c r="G153" s="22"/>
      <c r="H153" s="22"/>
      <c r="I153" s="22"/>
    </row>
    <row r="154" ht="14.25" customHeight="1">
      <c r="A154" s="69" t="s">
        <v>36</v>
      </c>
      <c r="B154" s="69" t="s">
        <v>39</v>
      </c>
      <c r="C154" s="69" t="s">
        <v>42</v>
      </c>
      <c r="D154" s="69" t="s">
        <v>43</v>
      </c>
      <c r="E154" s="69" t="s">
        <v>44</v>
      </c>
      <c r="F154" s="69" t="s">
        <v>45</v>
      </c>
      <c r="G154" s="69" t="s">
        <v>46</v>
      </c>
      <c r="H154" s="69" t="s">
        <v>47</v>
      </c>
      <c r="I154" s="69" t="s">
        <v>111</v>
      </c>
    </row>
    <row r="155" ht="14.25" customHeight="1">
      <c r="A155" s="22" t="s">
        <v>157</v>
      </c>
      <c r="B155" s="22" t="s">
        <v>157</v>
      </c>
      <c r="C155" s="22" t="s">
        <v>50</v>
      </c>
      <c r="D155" s="22">
        <v>10.0</v>
      </c>
      <c r="E155" s="22">
        <v>0.658</v>
      </c>
      <c r="F155" s="22">
        <v>6.58</v>
      </c>
      <c r="G155" s="22">
        <v>9433.0</v>
      </c>
      <c r="H155" s="22">
        <v>8549.0</v>
      </c>
      <c r="I155" s="22">
        <v>11.0</v>
      </c>
    </row>
    <row r="156" ht="14.25" customHeight="1">
      <c r="A156" s="22" t="s">
        <v>157</v>
      </c>
      <c r="B156" s="22" t="s">
        <v>157</v>
      </c>
      <c r="C156" s="22" t="s">
        <v>56</v>
      </c>
      <c r="D156" s="22">
        <v>3.0</v>
      </c>
      <c r="E156" s="22">
        <v>0.52333333</v>
      </c>
      <c r="F156" s="22">
        <v>1.57</v>
      </c>
      <c r="G156" s="22">
        <v>2592.0</v>
      </c>
      <c r="H156" s="22">
        <v>2592.0</v>
      </c>
      <c r="I156" s="22">
        <v>3.0</v>
      </c>
    </row>
    <row r="157" ht="14.25" customHeight="1">
      <c r="A157" s="22" t="s">
        <v>157</v>
      </c>
      <c r="B157" s="22" t="s">
        <v>157</v>
      </c>
      <c r="C157" s="22" t="s">
        <v>59</v>
      </c>
      <c r="D157" s="22">
        <v>1.0</v>
      </c>
      <c r="E157" s="22">
        <v>1.51</v>
      </c>
      <c r="F157" s="22">
        <v>1.51</v>
      </c>
      <c r="G157" s="22">
        <v>2275.0</v>
      </c>
      <c r="H157" s="22">
        <v>2275.0</v>
      </c>
      <c r="I157" s="22">
        <v>1.0</v>
      </c>
    </row>
    <row r="158" ht="14.25" customHeight="1">
      <c r="A158" s="22" t="s">
        <v>157</v>
      </c>
      <c r="B158" s="22" t="s">
        <v>157</v>
      </c>
      <c r="C158" s="22" t="s">
        <v>61</v>
      </c>
      <c r="D158" s="22">
        <v>2.0</v>
      </c>
      <c r="E158" s="22">
        <v>0.78</v>
      </c>
      <c r="F158" s="22">
        <v>1.56</v>
      </c>
      <c r="G158" s="22">
        <v>1694.0</v>
      </c>
      <c r="H158" s="22">
        <v>1655.0</v>
      </c>
      <c r="I158" s="22">
        <v>2.0</v>
      </c>
    </row>
    <row r="159" ht="14.25" customHeight="1">
      <c r="A159" s="22" t="s">
        <v>157</v>
      </c>
      <c r="B159" s="22" t="s">
        <v>157</v>
      </c>
      <c r="C159" s="22" t="s">
        <v>63</v>
      </c>
      <c r="D159" s="22">
        <v>6.0</v>
      </c>
      <c r="E159" s="22">
        <v>0.22833333</v>
      </c>
      <c r="F159" s="22">
        <v>1.37</v>
      </c>
      <c r="G159" s="22">
        <v>2397.0</v>
      </c>
      <c r="H159" s="22">
        <v>2275.0</v>
      </c>
      <c r="I159" s="22">
        <v>6.0</v>
      </c>
    </row>
    <row r="160" ht="14.25" customHeight="1">
      <c r="A160" s="22"/>
      <c r="B160" s="22"/>
      <c r="C160" s="22"/>
      <c r="D160" s="22"/>
      <c r="E160" s="107" t="s">
        <v>65</v>
      </c>
      <c r="F160" s="107">
        <f>SUM(F155:F159)</f>
        <v>12.59</v>
      </c>
      <c r="G160" s="22"/>
      <c r="H160" s="22"/>
      <c r="I160" s="85">
        <f>SUM(I155:I159)</f>
        <v>23</v>
      </c>
    </row>
    <row r="161" ht="14.25" customHeight="1">
      <c r="A161" s="22"/>
      <c r="B161" s="22"/>
      <c r="C161" s="22"/>
      <c r="D161" s="22"/>
      <c r="E161" s="22"/>
      <c r="F161" s="22"/>
      <c r="G161" s="22"/>
      <c r="H161" s="22"/>
      <c r="I161" s="22"/>
    </row>
    <row r="162" ht="14.25" customHeight="1">
      <c r="A162" s="34" t="s">
        <v>66</v>
      </c>
      <c r="B162" s="22"/>
      <c r="C162" s="22"/>
      <c r="D162" s="22"/>
      <c r="E162" s="22"/>
      <c r="F162" s="22"/>
      <c r="G162" s="22"/>
      <c r="H162" s="22"/>
      <c r="I162" s="22"/>
    </row>
    <row r="163" ht="14.25" customHeight="1">
      <c r="A163" s="69" t="s">
        <v>67</v>
      </c>
      <c r="B163" s="69" t="s">
        <v>68</v>
      </c>
      <c r="C163" s="22"/>
      <c r="D163" s="22"/>
      <c r="E163" s="22"/>
      <c r="F163" s="22"/>
      <c r="G163" s="22"/>
      <c r="H163" s="22"/>
      <c r="I163" s="22"/>
    </row>
    <row r="164" ht="14.25" customHeight="1">
      <c r="A164" s="22" t="s">
        <v>69</v>
      </c>
      <c r="B164" s="22">
        <v>9.0</v>
      </c>
      <c r="C164" s="22"/>
      <c r="D164" s="22"/>
      <c r="E164" s="22"/>
      <c r="F164" s="22"/>
      <c r="G164" s="22"/>
      <c r="H164" s="22"/>
      <c r="I164" s="22"/>
    </row>
    <row r="165" ht="14.25" customHeight="1">
      <c r="A165" s="22" t="s">
        <v>70</v>
      </c>
      <c r="B165" s="22">
        <v>6.0</v>
      </c>
      <c r="C165" s="22"/>
      <c r="D165" s="22"/>
      <c r="E165" s="22"/>
      <c r="F165" s="22"/>
      <c r="G165" s="22"/>
      <c r="H165" s="22"/>
      <c r="I165" s="22"/>
    </row>
    <row r="166" ht="14.25" customHeight="1">
      <c r="A166" s="22" t="s">
        <v>122</v>
      </c>
      <c r="B166" s="22">
        <v>6.0</v>
      </c>
      <c r="C166" s="22"/>
      <c r="D166" s="22"/>
      <c r="E166" s="22"/>
      <c r="F166" s="22"/>
      <c r="G166" s="22"/>
      <c r="H166" s="22"/>
      <c r="I166" s="22"/>
    </row>
    <row r="167" ht="14.25" customHeight="1">
      <c r="A167" s="22" t="s">
        <v>120</v>
      </c>
      <c r="B167" s="22">
        <v>4.0</v>
      </c>
      <c r="C167" s="22"/>
      <c r="D167" s="22"/>
      <c r="E167" s="22"/>
      <c r="F167" s="22"/>
      <c r="G167" s="22"/>
      <c r="H167" s="22"/>
      <c r="I167" s="22"/>
    </row>
    <row r="168" ht="14.25" customHeight="1">
      <c r="A168" s="22" t="s">
        <v>121</v>
      </c>
      <c r="B168" s="22">
        <v>2.0</v>
      </c>
      <c r="C168" s="22"/>
      <c r="D168" s="22"/>
      <c r="E168" s="22"/>
      <c r="F168" s="22"/>
      <c r="G168" s="22"/>
      <c r="H168" s="22"/>
      <c r="I168" s="22"/>
    </row>
    <row r="169" ht="14.25" customHeight="1">
      <c r="A169" s="22" t="s">
        <v>130</v>
      </c>
      <c r="B169" s="22">
        <v>1.0</v>
      </c>
      <c r="C169" s="22"/>
      <c r="D169" s="22"/>
      <c r="E169" s="22"/>
      <c r="F169" s="22"/>
      <c r="G169" s="22"/>
      <c r="H169" s="22"/>
      <c r="I169" s="22"/>
    </row>
    <row r="170" ht="14.25" customHeight="1">
      <c r="A170" s="22"/>
      <c r="B170" s="85">
        <f>SUM(B164:B169)</f>
        <v>28</v>
      </c>
      <c r="C170" s="22"/>
      <c r="D170" s="22"/>
      <c r="E170" s="22"/>
      <c r="F170" s="22"/>
      <c r="G170" s="22"/>
      <c r="H170" s="22"/>
      <c r="I170" s="22"/>
    </row>
    <row r="171" ht="14.25" customHeight="1">
      <c r="A171" s="22"/>
      <c r="B171" s="22"/>
      <c r="C171" s="22"/>
      <c r="D171" s="22"/>
      <c r="E171" s="22"/>
      <c r="F171" s="22"/>
      <c r="G171" s="22"/>
      <c r="H171" s="22"/>
      <c r="I171" s="22"/>
    </row>
    <row r="172" ht="14.25" customHeight="1">
      <c r="A172" s="34" t="s">
        <v>72</v>
      </c>
      <c r="B172" s="22"/>
      <c r="C172" s="22"/>
      <c r="D172" s="22"/>
      <c r="E172" s="22"/>
      <c r="F172" s="22"/>
      <c r="G172" s="22"/>
      <c r="H172" s="22"/>
      <c r="I172" s="22"/>
    </row>
    <row r="173" ht="14.25" customHeight="1">
      <c r="A173" s="69" t="s">
        <v>67</v>
      </c>
      <c r="B173" s="69" t="s">
        <v>73</v>
      </c>
      <c r="C173" s="69" t="s">
        <v>74</v>
      </c>
      <c r="D173" s="69" t="s">
        <v>75</v>
      </c>
      <c r="E173" s="69" t="s">
        <v>68</v>
      </c>
      <c r="F173" s="22"/>
      <c r="G173" s="22"/>
      <c r="H173" s="22"/>
      <c r="I173" s="22"/>
    </row>
    <row r="174" ht="14.25" customHeight="1">
      <c r="A174" s="22" t="s">
        <v>69</v>
      </c>
      <c r="B174" s="22">
        <v>6.0</v>
      </c>
      <c r="C174" s="22">
        <v>0.0</v>
      </c>
      <c r="D174" s="22">
        <v>18.0</v>
      </c>
      <c r="E174" s="22">
        <v>24.0</v>
      </c>
      <c r="F174" s="22"/>
      <c r="G174" s="22"/>
      <c r="H174" s="22"/>
      <c r="I174" s="22"/>
    </row>
    <row r="175" ht="14.25" customHeight="1">
      <c r="A175" s="22" t="s">
        <v>130</v>
      </c>
      <c r="B175" s="22">
        <v>9.0</v>
      </c>
      <c r="C175" s="22">
        <v>3.0</v>
      </c>
      <c r="D175" s="22">
        <v>11.0</v>
      </c>
      <c r="E175" s="22">
        <v>23.0</v>
      </c>
      <c r="F175" s="22"/>
      <c r="G175" s="22"/>
      <c r="H175" s="22"/>
      <c r="I175" s="22"/>
    </row>
    <row r="176" ht="14.25" customHeight="1">
      <c r="A176" s="22" t="s">
        <v>120</v>
      </c>
      <c r="B176" s="22">
        <v>9.0</v>
      </c>
      <c r="C176" s="22">
        <v>4.0</v>
      </c>
      <c r="D176" s="22">
        <v>0.0</v>
      </c>
      <c r="E176" s="22">
        <v>13.0</v>
      </c>
      <c r="F176" s="22"/>
      <c r="G176" s="22"/>
      <c r="H176" s="22"/>
      <c r="I176" s="22"/>
    </row>
    <row r="177" ht="14.25" customHeight="1">
      <c r="A177" s="22" t="s">
        <v>70</v>
      </c>
      <c r="B177" s="22">
        <v>4.0</v>
      </c>
      <c r="C177" s="22">
        <v>0.0</v>
      </c>
      <c r="D177" s="22">
        <v>0.0</v>
      </c>
      <c r="E177" s="22">
        <v>4.0</v>
      </c>
      <c r="F177" s="22"/>
      <c r="G177" s="22"/>
      <c r="H177" s="22"/>
      <c r="I177" s="22"/>
    </row>
    <row r="178" ht="14.25" customHeight="1">
      <c r="A178" s="22"/>
      <c r="B178" s="22"/>
      <c r="C178" s="22"/>
      <c r="D178" s="22"/>
      <c r="E178" s="22"/>
      <c r="F178" s="22"/>
      <c r="G178" s="22"/>
      <c r="H178" s="22"/>
      <c r="I178" s="22"/>
    </row>
    <row r="179" ht="14.25" customHeight="1">
      <c r="A179" s="34" t="s">
        <v>77</v>
      </c>
      <c r="B179" s="22"/>
      <c r="C179" s="22"/>
      <c r="D179" s="22"/>
      <c r="E179" s="22"/>
      <c r="F179" s="22"/>
      <c r="G179" s="22"/>
      <c r="H179" s="22"/>
      <c r="I179" s="22"/>
    </row>
    <row r="180" ht="14.25" customHeight="1">
      <c r="A180" s="91" t="s">
        <v>79</v>
      </c>
      <c r="B180" s="91" t="s">
        <v>68</v>
      </c>
      <c r="C180" s="22"/>
      <c r="D180" s="22"/>
      <c r="E180" s="22"/>
      <c r="F180" s="22"/>
      <c r="G180" s="22"/>
      <c r="H180" s="22"/>
      <c r="I180" s="22"/>
    </row>
    <row r="181" ht="14.25" customHeight="1">
      <c r="A181" s="49" t="s">
        <v>133</v>
      </c>
      <c r="B181" s="49">
        <v>10.0</v>
      </c>
      <c r="C181" s="22"/>
      <c r="D181" s="22"/>
      <c r="E181" s="22"/>
      <c r="F181" s="22"/>
      <c r="G181" s="22"/>
      <c r="H181" s="22"/>
      <c r="I181" s="22"/>
    </row>
    <row r="182" ht="14.25" customHeight="1">
      <c r="A182" s="49" t="s">
        <v>83</v>
      </c>
      <c r="B182" s="49">
        <v>7.0</v>
      </c>
      <c r="C182" s="22"/>
      <c r="D182" s="22"/>
      <c r="E182" s="22"/>
      <c r="F182" s="22"/>
      <c r="G182" s="22"/>
      <c r="H182" s="22"/>
      <c r="I182" s="22"/>
    </row>
    <row r="183" ht="14.25" customHeight="1">
      <c r="A183" s="49" t="s">
        <v>88</v>
      </c>
      <c r="B183" s="49">
        <v>5.0</v>
      </c>
      <c r="C183" s="22"/>
      <c r="D183" s="22"/>
      <c r="E183" s="22"/>
      <c r="F183" s="22"/>
      <c r="G183" s="22"/>
      <c r="H183" s="22"/>
      <c r="I183" s="22"/>
    </row>
    <row r="184" ht="14.25" customHeight="1">
      <c r="A184" s="49" t="s">
        <v>84</v>
      </c>
      <c r="B184" s="49">
        <v>3.0</v>
      </c>
      <c r="C184" s="22"/>
      <c r="D184" s="22"/>
      <c r="E184" s="22"/>
      <c r="F184" s="22"/>
      <c r="G184" s="22"/>
      <c r="H184" s="22"/>
      <c r="I184" s="22"/>
    </row>
    <row r="185" ht="14.25" customHeight="1">
      <c r="A185" s="49" t="s">
        <v>126</v>
      </c>
      <c r="B185" s="49">
        <v>2.0</v>
      </c>
      <c r="C185" s="22"/>
      <c r="D185" s="22"/>
      <c r="E185" s="22"/>
      <c r="F185" s="22"/>
      <c r="G185" s="22"/>
      <c r="H185" s="22"/>
      <c r="I185" s="22"/>
    </row>
    <row r="186" ht="14.25" customHeight="1">
      <c r="A186" s="49" t="s">
        <v>160</v>
      </c>
      <c r="B186" s="49">
        <v>1.0</v>
      </c>
      <c r="C186" s="22"/>
      <c r="D186" s="22"/>
      <c r="E186" s="22"/>
      <c r="F186" s="22"/>
      <c r="G186" s="22"/>
      <c r="H186" s="22"/>
      <c r="I186" s="22"/>
    </row>
    <row r="187" ht="14.25" customHeight="1">
      <c r="A187" s="22"/>
      <c r="B187" s="22"/>
      <c r="C187" s="22"/>
      <c r="D187" s="22"/>
      <c r="E187" s="22"/>
      <c r="F187" s="22"/>
      <c r="G187" s="22"/>
      <c r="H187" s="22"/>
      <c r="I187" s="22"/>
    </row>
    <row r="188" ht="14.25" customHeight="1">
      <c r="A188" s="22"/>
      <c r="B188" s="22"/>
      <c r="C188" s="22"/>
      <c r="D188" s="22"/>
      <c r="E188" s="22"/>
      <c r="F188" s="22"/>
      <c r="G188" s="22"/>
      <c r="H188" s="22"/>
      <c r="I188" s="22"/>
    </row>
    <row r="189" ht="14.25" customHeight="1">
      <c r="A189" s="54" t="s">
        <v>7</v>
      </c>
      <c r="B189" s="55"/>
      <c r="C189" s="22"/>
      <c r="D189" s="22"/>
      <c r="E189" s="22"/>
      <c r="F189" s="22"/>
      <c r="G189" s="22"/>
      <c r="H189" s="22"/>
      <c r="I189" s="22"/>
    </row>
    <row r="190" ht="14.25" customHeight="1">
      <c r="A190" s="99" t="s">
        <v>0</v>
      </c>
      <c r="B190" s="100">
        <v>3600.0</v>
      </c>
      <c r="C190" s="3">
        <v>1.0</v>
      </c>
      <c r="D190" s="22"/>
      <c r="E190" s="22"/>
      <c r="F190" s="22"/>
      <c r="G190" s="22"/>
      <c r="H190" s="22"/>
      <c r="I190" s="22"/>
    </row>
    <row r="191" ht="14.25" customHeight="1">
      <c r="A191" s="22"/>
      <c r="B191" s="22"/>
      <c r="C191" s="22"/>
      <c r="D191" s="22"/>
      <c r="E191" s="22"/>
      <c r="F191" s="22"/>
      <c r="G191" s="22"/>
      <c r="H191" s="22"/>
      <c r="I191" s="22"/>
    </row>
    <row r="192" ht="14.25" customHeight="1">
      <c r="A192" s="4" t="s">
        <v>1</v>
      </c>
      <c r="B192" s="9">
        <v>46199.0</v>
      </c>
      <c r="C192" s="22"/>
      <c r="D192" s="22"/>
      <c r="E192" s="22"/>
      <c r="F192" s="22"/>
      <c r="G192" s="22"/>
      <c r="H192" s="22"/>
      <c r="I192" s="22"/>
    </row>
    <row r="193" ht="14.25" customHeight="1">
      <c r="A193" s="14" t="s">
        <v>3</v>
      </c>
      <c r="B193" s="101">
        <v>12.59</v>
      </c>
      <c r="C193" s="22"/>
      <c r="D193" s="22"/>
      <c r="E193" s="22"/>
      <c r="F193" s="22"/>
      <c r="G193" s="22"/>
      <c r="H193" s="22"/>
      <c r="I193" s="22"/>
    </row>
    <row r="194" ht="14.25" customHeight="1">
      <c r="A194" s="14" t="s">
        <v>4</v>
      </c>
      <c r="B194" s="102">
        <v>45324.0</v>
      </c>
      <c r="C194" s="22"/>
      <c r="D194" s="22"/>
      <c r="E194" s="22"/>
      <c r="F194" s="22"/>
      <c r="G194" s="22"/>
      <c r="H194" s="22"/>
      <c r="I194" s="22"/>
    </row>
    <row r="195" ht="14.25" customHeight="1">
      <c r="A195" s="14" t="s">
        <v>5</v>
      </c>
      <c r="B195" s="103">
        <v>23.0</v>
      </c>
      <c r="C195" s="22"/>
      <c r="D195" s="22"/>
      <c r="E195" s="22"/>
      <c r="F195" s="22"/>
      <c r="G195" s="22"/>
      <c r="H195" s="22"/>
      <c r="I195" s="22"/>
    </row>
    <row r="196" ht="14.25" customHeight="1">
      <c r="A196" s="14" t="s">
        <v>6</v>
      </c>
      <c r="B196" s="102">
        <v>1970.608695652174</v>
      </c>
      <c r="C196" s="22"/>
      <c r="D196" s="22"/>
      <c r="E196" s="22"/>
      <c r="F196" s="22"/>
      <c r="G196" s="22"/>
      <c r="H196" s="22"/>
      <c r="I196" s="22"/>
    </row>
    <row r="197" ht="14.25" customHeight="1">
      <c r="A197" s="14" t="s">
        <v>7</v>
      </c>
      <c r="B197" s="104">
        <v>0.0</v>
      </c>
      <c r="C197" s="22"/>
      <c r="D197" s="22"/>
      <c r="E197" s="22"/>
      <c r="F197" s="22"/>
      <c r="G197" s="22"/>
      <c r="H197" s="22"/>
      <c r="I197" s="22"/>
    </row>
    <row r="198" ht="14.25" customHeight="1">
      <c r="A198" s="14" t="s">
        <v>9</v>
      </c>
      <c r="B198" s="25" t="s">
        <v>60</v>
      </c>
      <c r="C198" s="22"/>
      <c r="D198" s="22"/>
      <c r="E198" s="22"/>
      <c r="F198" s="22"/>
      <c r="G198" s="22"/>
      <c r="H198" s="22"/>
      <c r="I198" s="22"/>
    </row>
    <row r="199" ht="14.25" customHeight="1">
      <c r="A199" s="14" t="s">
        <v>18</v>
      </c>
      <c r="B199" s="105">
        <v>0.0</v>
      </c>
      <c r="C199" s="22"/>
      <c r="D199" s="22"/>
      <c r="E199" s="22"/>
      <c r="F199" s="22"/>
      <c r="G199" s="22"/>
      <c r="H199" s="22"/>
      <c r="I199" s="22"/>
    </row>
    <row r="200" ht="14.25" customHeight="1">
      <c r="A200" s="14" t="s">
        <v>22</v>
      </c>
      <c r="B200" s="104">
        <v>0.0</v>
      </c>
      <c r="C200" s="22"/>
      <c r="D200" s="22"/>
      <c r="E200" s="22"/>
      <c r="F200" s="22"/>
      <c r="G200" s="22"/>
      <c r="H200" s="22"/>
      <c r="I200" s="22"/>
    </row>
    <row r="201" ht="14.25" customHeight="1">
      <c r="A201" s="14" t="s">
        <v>29</v>
      </c>
      <c r="B201" s="106">
        <v>0.043478260869565216</v>
      </c>
      <c r="C201" s="22"/>
      <c r="D201" s="22"/>
      <c r="E201" s="22"/>
      <c r="F201" s="22"/>
      <c r="G201" s="22"/>
      <c r="H201" s="22"/>
      <c r="I201" s="22"/>
    </row>
    <row r="202" ht="14.25" customHeight="1"/>
    <row r="203" ht="14.25" customHeight="1"/>
    <row r="204" ht="14.25" customHeight="1">
      <c r="A204" s="20" t="s">
        <v>163</v>
      </c>
      <c r="B204" s="22"/>
      <c r="C204" s="22"/>
      <c r="D204" s="22"/>
      <c r="E204" s="22"/>
      <c r="F204" s="22"/>
      <c r="G204" s="22"/>
      <c r="H204" s="22"/>
      <c r="I204" s="22"/>
    </row>
    <row r="205" ht="14.25" customHeight="1">
      <c r="A205" s="69" t="s">
        <v>36</v>
      </c>
      <c r="B205" s="69" t="s">
        <v>39</v>
      </c>
      <c r="C205" s="69" t="s">
        <v>42</v>
      </c>
      <c r="D205" s="69" t="s">
        <v>43</v>
      </c>
      <c r="E205" s="69" t="s">
        <v>44</v>
      </c>
      <c r="F205" s="69" t="s">
        <v>45</v>
      </c>
      <c r="G205" s="69" t="s">
        <v>46</v>
      </c>
      <c r="H205" s="69" t="s">
        <v>47</v>
      </c>
      <c r="I205" s="69" t="s">
        <v>111</v>
      </c>
    </row>
    <row r="206" ht="14.25" customHeight="1">
      <c r="A206" s="22" t="s">
        <v>164</v>
      </c>
      <c r="B206" s="22" t="s">
        <v>164</v>
      </c>
      <c r="C206" s="22" t="s">
        <v>50</v>
      </c>
      <c r="D206" s="22">
        <v>14.0</v>
      </c>
      <c r="E206" s="22">
        <v>0.43928571</v>
      </c>
      <c r="F206" s="22">
        <v>6.15</v>
      </c>
      <c r="G206" s="22">
        <v>6979.0</v>
      </c>
      <c r="H206" s="22">
        <v>6113.0</v>
      </c>
      <c r="I206" s="22">
        <v>15.0</v>
      </c>
    </row>
    <row r="207" ht="14.25" customHeight="1">
      <c r="A207" s="22" t="s">
        <v>164</v>
      </c>
      <c r="B207" s="22" t="s">
        <v>164</v>
      </c>
      <c r="C207" s="22" t="s">
        <v>56</v>
      </c>
      <c r="D207" s="22">
        <v>3.0</v>
      </c>
      <c r="E207" s="22">
        <v>0.57333333</v>
      </c>
      <c r="F207" s="22">
        <v>1.72</v>
      </c>
      <c r="G207" s="22">
        <v>2936.0</v>
      </c>
      <c r="H207" s="22">
        <v>2936.0</v>
      </c>
      <c r="I207" s="22">
        <v>3.0</v>
      </c>
    </row>
    <row r="208" ht="14.25" customHeight="1">
      <c r="A208" s="22" t="s">
        <v>164</v>
      </c>
      <c r="B208" s="22" t="s">
        <v>164</v>
      </c>
      <c r="C208" s="22" t="s">
        <v>59</v>
      </c>
      <c r="D208" s="22">
        <v>2.0</v>
      </c>
      <c r="E208" s="22">
        <v>0.72</v>
      </c>
      <c r="F208" s="22">
        <v>1.44</v>
      </c>
      <c r="G208" s="22">
        <v>1970.0</v>
      </c>
      <c r="H208" s="22">
        <v>1908.0</v>
      </c>
      <c r="I208" s="22">
        <v>2.0</v>
      </c>
    </row>
    <row r="209" ht="14.25" customHeight="1">
      <c r="A209" s="22" t="s">
        <v>164</v>
      </c>
      <c r="B209" s="22" t="s">
        <v>164</v>
      </c>
      <c r="C209" s="22" t="s">
        <v>61</v>
      </c>
      <c r="D209" s="22">
        <v>1.0</v>
      </c>
      <c r="E209" s="22">
        <v>1.54</v>
      </c>
      <c r="F209" s="22">
        <v>1.54</v>
      </c>
      <c r="G209" s="22">
        <v>1322.0</v>
      </c>
      <c r="H209" s="22">
        <v>1299.0</v>
      </c>
      <c r="I209" s="22">
        <v>1.0</v>
      </c>
    </row>
    <row r="210" ht="14.25" customHeight="1">
      <c r="A210" s="22" t="s">
        <v>164</v>
      </c>
      <c r="B210" s="22" t="s">
        <v>164</v>
      </c>
      <c r="C210" s="22" t="s">
        <v>63</v>
      </c>
      <c r="D210" s="22">
        <v>2.0</v>
      </c>
      <c r="E210" s="22">
        <v>0.615</v>
      </c>
      <c r="F210" s="22">
        <v>1.23</v>
      </c>
      <c r="G210" s="22">
        <v>1971.0</v>
      </c>
      <c r="H210" s="22">
        <v>1949.0</v>
      </c>
      <c r="I210" s="22">
        <v>2.0</v>
      </c>
    </row>
    <row r="211" ht="14.25" customHeight="1">
      <c r="A211" s="22"/>
      <c r="B211" s="22"/>
      <c r="C211" s="22"/>
      <c r="D211" s="22"/>
      <c r="E211" s="107" t="s">
        <v>65</v>
      </c>
      <c r="F211" s="107">
        <f>SUM(F206:F210)</f>
        <v>12.08</v>
      </c>
      <c r="G211" s="22"/>
      <c r="H211" s="22"/>
      <c r="I211" s="85">
        <f>SUM(I206:I210)</f>
        <v>23</v>
      </c>
    </row>
    <row r="212" ht="14.25" customHeight="1">
      <c r="A212" s="22"/>
      <c r="B212" s="22"/>
      <c r="C212" s="22"/>
      <c r="D212" s="22"/>
      <c r="E212" s="22"/>
      <c r="F212" s="22"/>
      <c r="G212" s="22"/>
      <c r="H212" s="22"/>
      <c r="I212" s="22"/>
    </row>
    <row r="213" ht="14.25" customHeight="1">
      <c r="A213" s="34" t="s">
        <v>66</v>
      </c>
      <c r="B213" s="22"/>
      <c r="C213" s="22"/>
      <c r="D213" s="22"/>
      <c r="E213" s="22"/>
      <c r="F213" s="22"/>
      <c r="G213" s="22"/>
      <c r="H213" s="22"/>
      <c r="I213" s="22"/>
    </row>
    <row r="214" ht="14.25" customHeight="1">
      <c r="A214" s="69" t="s">
        <v>67</v>
      </c>
      <c r="B214" s="69" t="s">
        <v>68</v>
      </c>
      <c r="C214" s="22"/>
      <c r="D214" s="22"/>
      <c r="E214" s="22"/>
      <c r="F214" s="22"/>
      <c r="G214" s="22"/>
      <c r="H214" s="22"/>
      <c r="I214" s="22"/>
    </row>
    <row r="215" ht="14.25" customHeight="1">
      <c r="A215" s="22" t="s">
        <v>70</v>
      </c>
      <c r="B215" s="22">
        <v>5.0</v>
      </c>
      <c r="C215" s="22"/>
      <c r="D215" s="22"/>
      <c r="E215" s="22"/>
      <c r="F215" s="22"/>
      <c r="G215" s="22"/>
      <c r="H215" s="22"/>
      <c r="I215" s="22"/>
    </row>
    <row r="216" ht="14.25" customHeight="1">
      <c r="A216" s="22" t="s">
        <v>69</v>
      </c>
      <c r="B216" s="22">
        <v>5.0</v>
      </c>
      <c r="C216" s="22"/>
      <c r="D216" s="22"/>
      <c r="E216" s="22"/>
      <c r="F216" s="22"/>
      <c r="G216" s="22"/>
      <c r="H216" s="22"/>
      <c r="I216" s="22"/>
    </row>
    <row r="217" ht="14.25" customHeight="1">
      <c r="A217" s="22" t="s">
        <v>121</v>
      </c>
      <c r="B217" s="22">
        <v>5.0</v>
      </c>
      <c r="C217" s="22"/>
      <c r="D217" s="22"/>
      <c r="E217" s="22"/>
      <c r="F217" s="22"/>
      <c r="G217" s="22"/>
      <c r="H217" s="22"/>
      <c r="I217" s="22"/>
    </row>
    <row r="218" ht="14.25" customHeight="1">
      <c r="A218" s="22" t="s">
        <v>120</v>
      </c>
      <c r="B218" s="22">
        <v>4.0</v>
      </c>
      <c r="C218" s="22"/>
      <c r="D218" s="22"/>
      <c r="E218" s="22"/>
      <c r="F218" s="22"/>
      <c r="G218" s="22"/>
      <c r="H218" s="22"/>
      <c r="I218" s="22"/>
    </row>
    <row r="219" ht="14.25" customHeight="1">
      <c r="A219" s="22" t="s">
        <v>122</v>
      </c>
      <c r="B219" s="22">
        <v>3.0</v>
      </c>
      <c r="C219" s="22"/>
      <c r="D219" s="22"/>
      <c r="E219" s="22"/>
      <c r="F219" s="22"/>
      <c r="G219" s="22"/>
      <c r="H219" s="22"/>
      <c r="I219" s="22"/>
    </row>
    <row r="220" ht="14.25" customHeight="1">
      <c r="A220" s="22"/>
      <c r="B220" s="69">
        <f>SUM(B215:B219)</f>
        <v>22</v>
      </c>
      <c r="C220" s="22"/>
      <c r="D220" s="22"/>
      <c r="E220" s="22"/>
      <c r="F220" s="22"/>
      <c r="G220" s="22"/>
      <c r="H220" s="22"/>
      <c r="I220" s="22"/>
    </row>
    <row r="221" ht="14.25" customHeight="1">
      <c r="A221" s="22"/>
      <c r="B221" s="22"/>
      <c r="C221" s="22"/>
      <c r="D221" s="22"/>
      <c r="E221" s="22"/>
      <c r="F221" s="22"/>
      <c r="G221" s="22"/>
      <c r="H221" s="22"/>
      <c r="I221" s="22"/>
    </row>
    <row r="222" ht="14.25" customHeight="1">
      <c r="A222" s="34" t="s">
        <v>72</v>
      </c>
      <c r="B222" s="22"/>
      <c r="C222" s="22"/>
      <c r="D222" s="22"/>
      <c r="E222" s="22"/>
      <c r="F222" s="22"/>
      <c r="G222" s="22"/>
      <c r="H222" s="22"/>
      <c r="I222" s="22"/>
    </row>
    <row r="223" ht="14.25" customHeight="1">
      <c r="A223" s="69" t="s">
        <v>67</v>
      </c>
      <c r="B223" s="69" t="s">
        <v>73</v>
      </c>
      <c r="C223" s="69" t="s">
        <v>74</v>
      </c>
      <c r="D223" s="69" t="s">
        <v>75</v>
      </c>
      <c r="E223" s="69" t="s">
        <v>68</v>
      </c>
      <c r="F223" s="22"/>
      <c r="G223" s="22"/>
      <c r="H223" s="22"/>
      <c r="I223" s="22"/>
    </row>
    <row r="224" ht="14.25" customHeight="1">
      <c r="A224" s="22" t="s">
        <v>70</v>
      </c>
      <c r="B224" s="22">
        <v>20.0</v>
      </c>
      <c r="C224" s="22">
        <v>0.0</v>
      </c>
      <c r="D224" s="22">
        <v>0.0</v>
      </c>
      <c r="E224" s="22">
        <v>20.0</v>
      </c>
      <c r="F224" s="22"/>
      <c r="G224" s="22"/>
      <c r="H224" s="22"/>
      <c r="I224" s="22"/>
    </row>
    <row r="225" ht="14.25" customHeight="1">
      <c r="A225" s="22" t="s">
        <v>120</v>
      </c>
      <c r="B225" s="22">
        <v>2.0</v>
      </c>
      <c r="C225" s="22">
        <v>0.0</v>
      </c>
      <c r="D225" s="22">
        <v>13.0</v>
      </c>
      <c r="E225" s="22">
        <v>15.0</v>
      </c>
      <c r="F225" s="22"/>
      <c r="G225" s="22"/>
      <c r="H225" s="22"/>
      <c r="I225" s="22"/>
    </row>
    <row r="226" ht="14.25" customHeight="1">
      <c r="A226" s="22" t="s">
        <v>69</v>
      </c>
      <c r="B226" s="22">
        <v>4.0</v>
      </c>
      <c r="C226" s="22">
        <v>0.0</v>
      </c>
      <c r="D226" s="22">
        <v>10.0</v>
      </c>
      <c r="E226" s="22">
        <v>14.0</v>
      </c>
      <c r="F226" s="22"/>
      <c r="G226" s="22"/>
      <c r="H226" s="22"/>
      <c r="I226" s="22"/>
    </row>
    <row r="227" ht="14.25" customHeight="1">
      <c r="A227" s="22" t="s">
        <v>121</v>
      </c>
      <c r="B227" s="22">
        <v>2.0</v>
      </c>
      <c r="C227" s="22">
        <v>0.0</v>
      </c>
      <c r="D227" s="22">
        <v>5.0</v>
      </c>
      <c r="E227" s="22">
        <v>7.0</v>
      </c>
      <c r="F227" s="22"/>
      <c r="G227" s="22"/>
      <c r="H227" s="22"/>
      <c r="I227" s="22"/>
    </row>
    <row r="228" ht="14.25" customHeight="1">
      <c r="A228" s="22" t="s">
        <v>130</v>
      </c>
      <c r="B228" s="22">
        <v>5.0</v>
      </c>
      <c r="C228" s="22">
        <v>0.0</v>
      </c>
      <c r="D228" s="22">
        <v>2.0</v>
      </c>
      <c r="E228" s="22">
        <v>7.0</v>
      </c>
      <c r="F228" s="22"/>
      <c r="G228" s="22"/>
      <c r="H228" s="22"/>
      <c r="I228" s="22"/>
    </row>
    <row r="229" ht="14.25" customHeight="1">
      <c r="A229" s="22"/>
      <c r="B229" s="22"/>
      <c r="C229" s="22"/>
      <c r="D229" s="22"/>
      <c r="E229" s="22"/>
      <c r="F229" s="22"/>
      <c r="G229" s="22"/>
      <c r="H229" s="22"/>
      <c r="I229" s="22"/>
    </row>
    <row r="230" ht="14.25" customHeight="1">
      <c r="A230" s="34" t="s">
        <v>77</v>
      </c>
      <c r="B230" s="22"/>
      <c r="C230" s="22"/>
      <c r="D230" s="22"/>
      <c r="E230" s="22"/>
      <c r="F230" s="22"/>
      <c r="G230" s="22"/>
      <c r="H230" s="22"/>
      <c r="I230" s="22"/>
    </row>
    <row r="231" ht="14.25" customHeight="1">
      <c r="A231" s="91" t="s">
        <v>79</v>
      </c>
      <c r="B231" s="91" t="s">
        <v>68</v>
      </c>
      <c r="C231" s="22"/>
      <c r="D231" s="22"/>
      <c r="E231" s="22"/>
      <c r="F231" s="22"/>
      <c r="G231" s="22"/>
      <c r="H231" s="22"/>
      <c r="I231" s="22"/>
    </row>
    <row r="232" ht="14.25" customHeight="1">
      <c r="A232" s="49" t="s">
        <v>133</v>
      </c>
      <c r="B232" s="49">
        <v>12.0</v>
      </c>
      <c r="C232" s="22"/>
      <c r="D232" s="22"/>
      <c r="E232" s="22"/>
      <c r="F232" s="22"/>
      <c r="G232" s="22"/>
      <c r="H232" s="22"/>
      <c r="I232" s="22"/>
    </row>
    <row r="233" ht="14.25" customHeight="1">
      <c r="A233" s="49" t="s">
        <v>126</v>
      </c>
      <c r="B233" s="49">
        <v>4.0</v>
      </c>
      <c r="C233" s="22"/>
      <c r="D233" s="22"/>
      <c r="E233" s="22"/>
      <c r="F233" s="22"/>
      <c r="G233" s="22"/>
      <c r="H233" s="22"/>
      <c r="I233" s="22"/>
    </row>
    <row r="234" ht="14.25" customHeight="1">
      <c r="A234" s="49" t="s">
        <v>83</v>
      </c>
      <c r="B234" s="49">
        <v>3.0</v>
      </c>
      <c r="C234" s="22"/>
      <c r="D234" s="22"/>
      <c r="E234" s="22"/>
      <c r="F234" s="22"/>
      <c r="G234" s="22"/>
      <c r="H234" s="22"/>
      <c r="I234" s="22"/>
    </row>
    <row r="235" ht="14.25" customHeight="1">
      <c r="A235" s="49" t="s">
        <v>166</v>
      </c>
      <c r="B235" s="49">
        <v>3.0</v>
      </c>
      <c r="C235" s="22"/>
      <c r="D235" s="22"/>
      <c r="E235" s="22"/>
      <c r="F235" s="22"/>
      <c r="G235" s="22"/>
      <c r="H235" s="22"/>
      <c r="I235" s="22"/>
    </row>
    <row r="236" ht="14.25" customHeight="1">
      <c r="A236" s="49" t="s">
        <v>88</v>
      </c>
      <c r="B236" s="49">
        <v>1.0</v>
      </c>
      <c r="C236" s="22"/>
      <c r="D236" s="22"/>
      <c r="E236" s="22"/>
      <c r="F236" s="22"/>
      <c r="G236" s="22"/>
      <c r="H236" s="22"/>
      <c r="I236" s="22"/>
    </row>
    <row r="237" ht="14.25" customHeight="1">
      <c r="A237" s="22"/>
      <c r="B237" s="22"/>
      <c r="C237" s="22"/>
      <c r="D237" s="22"/>
      <c r="E237" s="22"/>
      <c r="F237" s="22"/>
      <c r="G237" s="22"/>
      <c r="H237" s="22"/>
      <c r="I237" s="22"/>
    </row>
    <row r="238" ht="14.25" customHeight="1">
      <c r="A238" s="54" t="s">
        <v>7</v>
      </c>
      <c r="B238" s="55"/>
      <c r="C238" s="22"/>
      <c r="D238" s="22"/>
      <c r="E238" s="22"/>
      <c r="F238" s="22"/>
      <c r="G238" s="22"/>
      <c r="H238" s="22"/>
      <c r="I238" s="22"/>
    </row>
    <row r="239" ht="14.25" customHeight="1">
      <c r="A239" s="99" t="s">
        <v>0</v>
      </c>
      <c r="B239" s="100">
        <v>3600.0</v>
      </c>
      <c r="C239" s="3">
        <v>1.0</v>
      </c>
      <c r="D239" s="22"/>
      <c r="E239" s="22"/>
      <c r="F239" s="22"/>
      <c r="G239" s="22"/>
      <c r="H239" s="22"/>
      <c r="I239" s="22"/>
    </row>
    <row r="240" ht="14.25" customHeight="1">
      <c r="A240" s="22"/>
      <c r="B240" s="22"/>
      <c r="C240" s="22"/>
      <c r="D240" s="22"/>
      <c r="E240" s="22"/>
      <c r="F240" s="22"/>
      <c r="G240" s="22"/>
      <c r="H240" s="22"/>
      <c r="I240" s="22"/>
    </row>
    <row r="241" ht="14.25" customHeight="1">
      <c r="A241" s="4" t="s">
        <v>1</v>
      </c>
      <c r="B241" s="9">
        <v>46200.0</v>
      </c>
      <c r="C241" s="22"/>
      <c r="D241" s="22"/>
      <c r="E241" s="22"/>
      <c r="F241" s="22"/>
      <c r="G241" s="22"/>
      <c r="H241" s="22"/>
      <c r="I241" s="22"/>
    </row>
    <row r="242" ht="14.25" customHeight="1">
      <c r="A242" s="14" t="s">
        <v>3</v>
      </c>
      <c r="B242" s="101">
        <v>12.080000000000002</v>
      </c>
      <c r="C242" s="22"/>
      <c r="D242" s="22"/>
      <c r="E242" s="22"/>
      <c r="F242" s="22"/>
      <c r="G242" s="22"/>
      <c r="H242" s="22"/>
      <c r="I242" s="22"/>
    </row>
    <row r="243" ht="14.25" customHeight="1">
      <c r="A243" s="14" t="s">
        <v>4</v>
      </c>
      <c r="B243" s="102">
        <v>43488.00000000001</v>
      </c>
      <c r="C243" s="22"/>
      <c r="D243" s="22"/>
      <c r="E243" s="22"/>
      <c r="F243" s="22"/>
      <c r="G243" s="22"/>
      <c r="H243" s="22"/>
      <c r="I243" s="22"/>
    </row>
    <row r="244" ht="14.25" customHeight="1">
      <c r="A244" s="14" t="s">
        <v>5</v>
      </c>
      <c r="B244" s="103">
        <v>23.0</v>
      </c>
      <c r="C244" s="22"/>
      <c r="D244" s="22"/>
      <c r="E244" s="22"/>
      <c r="F244" s="22"/>
      <c r="G244" s="22"/>
      <c r="H244" s="22"/>
      <c r="I244" s="22"/>
    </row>
    <row r="245" ht="14.25" customHeight="1">
      <c r="A245" s="14" t="s">
        <v>6</v>
      </c>
      <c r="B245" s="102">
        <v>1890.7826086956525</v>
      </c>
      <c r="C245" s="22"/>
      <c r="D245" s="22"/>
      <c r="E245" s="22"/>
      <c r="F245" s="22"/>
      <c r="G245" s="22"/>
      <c r="H245" s="22"/>
      <c r="I245" s="22"/>
    </row>
    <row r="246" ht="14.25" customHeight="1">
      <c r="A246" s="14" t="s">
        <v>7</v>
      </c>
      <c r="B246" s="104">
        <v>0.0</v>
      </c>
      <c r="C246" s="22"/>
      <c r="D246" s="22"/>
      <c r="E246" s="22"/>
      <c r="F246" s="22"/>
      <c r="G246" s="22"/>
      <c r="H246" s="22"/>
      <c r="I246" s="22"/>
    </row>
    <row r="247" ht="14.25" customHeight="1">
      <c r="A247" s="14" t="s">
        <v>9</v>
      </c>
      <c r="B247" s="25" t="s">
        <v>60</v>
      </c>
      <c r="C247" s="22"/>
      <c r="D247" s="22"/>
      <c r="E247" s="22"/>
      <c r="F247" s="22"/>
      <c r="G247" s="22"/>
      <c r="H247" s="22"/>
      <c r="I247" s="22"/>
    </row>
    <row r="248" ht="14.25" customHeight="1">
      <c r="A248" s="14" t="s">
        <v>18</v>
      </c>
      <c r="B248" s="105">
        <v>0.0</v>
      </c>
      <c r="C248" s="22"/>
      <c r="D248" s="22"/>
      <c r="E248" s="22"/>
      <c r="F248" s="22"/>
      <c r="G248" s="22"/>
      <c r="H248" s="22"/>
      <c r="I248" s="22"/>
    </row>
    <row r="249" ht="14.25" customHeight="1">
      <c r="A249" s="14" t="s">
        <v>22</v>
      </c>
      <c r="B249" s="104">
        <v>0.0</v>
      </c>
      <c r="C249" s="22"/>
      <c r="D249" s="22"/>
      <c r="E249" s="22"/>
      <c r="F249" s="22"/>
      <c r="G249" s="22"/>
      <c r="H249" s="22"/>
      <c r="I249" s="22"/>
    </row>
    <row r="250" ht="14.25" customHeight="1">
      <c r="A250" s="14" t="s">
        <v>29</v>
      </c>
      <c r="B250" s="106">
        <v>0.043478260869565216</v>
      </c>
      <c r="C250" s="22"/>
      <c r="D250" s="22"/>
      <c r="E250" s="22"/>
      <c r="F250" s="22"/>
      <c r="G250" s="22"/>
      <c r="H250" s="22"/>
      <c r="I250" s="22"/>
    </row>
    <row r="251" ht="14.25" customHeight="1"/>
    <row r="252" ht="14.25" customHeight="1"/>
    <row r="253" ht="14.25" customHeight="1">
      <c r="A253" s="20" t="s">
        <v>169</v>
      </c>
      <c r="B253" s="22"/>
      <c r="C253" s="22"/>
      <c r="D253" s="22"/>
      <c r="E253" s="22"/>
      <c r="F253" s="22"/>
      <c r="G253" s="22"/>
      <c r="H253" s="22"/>
      <c r="I253" s="22"/>
    </row>
    <row r="254" ht="14.25" customHeight="1">
      <c r="A254" s="69" t="s">
        <v>36</v>
      </c>
      <c r="B254" s="69" t="s">
        <v>39</v>
      </c>
      <c r="C254" s="69" t="s">
        <v>42</v>
      </c>
      <c r="D254" s="69" t="s">
        <v>43</v>
      </c>
      <c r="E254" s="69" t="s">
        <v>44</v>
      </c>
      <c r="F254" s="69" t="s">
        <v>45</v>
      </c>
      <c r="G254" s="69" t="s">
        <v>46</v>
      </c>
      <c r="H254" s="69" t="s">
        <v>47</v>
      </c>
      <c r="I254" s="69" t="s">
        <v>111</v>
      </c>
    </row>
    <row r="255" ht="14.25" customHeight="1">
      <c r="A255" s="22" t="s">
        <v>170</v>
      </c>
      <c r="B255" s="22" t="s">
        <v>170</v>
      </c>
      <c r="C255" s="22" t="s">
        <v>50</v>
      </c>
      <c r="D255" s="22">
        <v>8.0</v>
      </c>
      <c r="E255" s="22">
        <v>0.73125</v>
      </c>
      <c r="F255" s="22">
        <v>5.85</v>
      </c>
      <c r="G255" s="22">
        <v>5676.0</v>
      </c>
      <c r="H255" s="22">
        <v>4930.0</v>
      </c>
      <c r="I255" s="22">
        <v>8.0</v>
      </c>
    </row>
    <row r="256" ht="14.25" customHeight="1">
      <c r="A256" s="22" t="s">
        <v>170</v>
      </c>
      <c r="B256" s="22" t="s">
        <v>170</v>
      </c>
      <c r="C256" s="22" t="s">
        <v>56</v>
      </c>
      <c r="D256" s="22">
        <v>2.0</v>
      </c>
      <c r="E256" s="22">
        <v>0.665</v>
      </c>
      <c r="F256" s="22">
        <v>1.33</v>
      </c>
      <c r="G256" s="22">
        <v>2175.0</v>
      </c>
      <c r="H256" s="22">
        <v>2164.0</v>
      </c>
      <c r="I256" s="22">
        <v>2.0</v>
      </c>
    </row>
    <row r="257" ht="14.25" customHeight="1">
      <c r="A257" s="22" t="s">
        <v>170</v>
      </c>
      <c r="B257" s="22" t="s">
        <v>170</v>
      </c>
      <c r="C257" s="22" t="s">
        <v>59</v>
      </c>
      <c r="D257" s="22">
        <v>7.0</v>
      </c>
      <c r="E257" s="22">
        <v>0.19714286</v>
      </c>
      <c r="F257" s="22">
        <v>1.38</v>
      </c>
      <c r="G257" s="22">
        <v>1800.0</v>
      </c>
      <c r="H257" s="22">
        <v>1725.0</v>
      </c>
      <c r="I257" s="22">
        <v>7.0</v>
      </c>
    </row>
    <row r="258" ht="14.25" customHeight="1">
      <c r="A258" s="22" t="s">
        <v>170</v>
      </c>
      <c r="B258" s="22" t="s">
        <v>170</v>
      </c>
      <c r="C258" s="22" t="s">
        <v>61</v>
      </c>
      <c r="D258" s="22">
        <v>2.0</v>
      </c>
      <c r="E258" s="22">
        <v>0.815</v>
      </c>
      <c r="F258" s="22">
        <v>1.63</v>
      </c>
      <c r="G258" s="22">
        <v>1484.0</v>
      </c>
      <c r="H258" s="22">
        <v>1416.0</v>
      </c>
      <c r="I258" s="22">
        <v>2.0</v>
      </c>
    </row>
    <row r="259" ht="14.25" customHeight="1">
      <c r="A259" s="22" t="s">
        <v>170</v>
      </c>
      <c r="B259" s="22" t="s">
        <v>170</v>
      </c>
      <c r="C259" s="22" t="s">
        <v>63</v>
      </c>
      <c r="D259" s="22">
        <v>4.0</v>
      </c>
      <c r="E259" s="22">
        <v>0.3825</v>
      </c>
      <c r="F259" s="22">
        <v>1.53</v>
      </c>
      <c r="G259" s="22">
        <v>2529.0</v>
      </c>
      <c r="H259" s="22">
        <v>2399.0</v>
      </c>
      <c r="I259" s="22">
        <v>4.0</v>
      </c>
    </row>
    <row r="260" ht="14.25" customHeight="1">
      <c r="A260" s="22"/>
      <c r="B260" s="22"/>
      <c r="C260" s="22"/>
      <c r="D260" s="22"/>
      <c r="E260" s="107" t="s">
        <v>65</v>
      </c>
      <c r="F260" s="107">
        <f>SUM(F255:F259)</f>
        <v>11.72</v>
      </c>
      <c r="G260" s="22"/>
      <c r="H260" s="22"/>
      <c r="I260" s="107">
        <f>SUM(I255:I259)</f>
        <v>23</v>
      </c>
    </row>
    <row r="261" ht="14.25" customHeight="1">
      <c r="A261" s="22"/>
      <c r="B261" s="22"/>
      <c r="C261" s="22"/>
      <c r="D261" s="22"/>
      <c r="E261" s="22"/>
      <c r="F261" s="22"/>
      <c r="G261" s="22"/>
      <c r="H261" s="22"/>
      <c r="I261" s="22"/>
    </row>
    <row r="262" ht="14.25" customHeight="1">
      <c r="A262" s="34" t="s">
        <v>66</v>
      </c>
      <c r="B262" s="22"/>
      <c r="C262" s="22"/>
      <c r="D262" s="22"/>
      <c r="E262" s="22"/>
      <c r="F262" s="22"/>
      <c r="G262" s="22"/>
      <c r="H262" s="22"/>
      <c r="I262" s="22"/>
    </row>
    <row r="263" ht="14.25" customHeight="1">
      <c r="A263" s="69" t="s">
        <v>67</v>
      </c>
      <c r="B263" s="69" t="s">
        <v>68</v>
      </c>
      <c r="C263" s="22"/>
      <c r="D263" s="22"/>
      <c r="E263" s="22"/>
      <c r="F263" s="22"/>
      <c r="G263" s="22"/>
      <c r="H263" s="22"/>
      <c r="I263" s="22"/>
    </row>
    <row r="264" ht="14.25" customHeight="1">
      <c r="A264" s="22" t="s">
        <v>120</v>
      </c>
      <c r="B264" s="22">
        <v>4.0</v>
      </c>
      <c r="C264" s="22"/>
      <c r="D264" s="22"/>
      <c r="E264" s="22"/>
      <c r="F264" s="22"/>
      <c r="G264" s="22"/>
      <c r="H264" s="22"/>
      <c r="I264" s="22"/>
    </row>
    <row r="265" ht="14.25" customHeight="1">
      <c r="A265" s="22" t="s">
        <v>70</v>
      </c>
      <c r="B265" s="22">
        <v>3.0</v>
      </c>
      <c r="C265" s="22"/>
      <c r="D265" s="22"/>
      <c r="E265" s="22"/>
      <c r="F265" s="22"/>
      <c r="G265" s="22"/>
      <c r="H265" s="22"/>
      <c r="I265" s="22"/>
    </row>
    <row r="266" ht="14.25" customHeight="1">
      <c r="A266" s="22" t="s">
        <v>69</v>
      </c>
      <c r="B266" s="22">
        <v>3.0</v>
      </c>
      <c r="C266" s="22"/>
      <c r="D266" s="22"/>
      <c r="E266" s="22"/>
      <c r="F266" s="22"/>
      <c r="G266" s="22"/>
      <c r="H266" s="22"/>
      <c r="I266" s="22"/>
    </row>
    <row r="267" ht="14.25" customHeight="1">
      <c r="A267" s="22" t="s">
        <v>121</v>
      </c>
      <c r="B267" s="22">
        <v>3.0</v>
      </c>
      <c r="C267" s="22"/>
      <c r="D267" s="22"/>
      <c r="E267" s="22"/>
      <c r="F267" s="22"/>
      <c r="G267" s="22"/>
      <c r="H267" s="22"/>
      <c r="I267" s="22"/>
    </row>
    <row r="268" ht="14.25" customHeight="1">
      <c r="A268" s="22" t="s">
        <v>122</v>
      </c>
      <c r="B268" s="22">
        <v>3.0</v>
      </c>
      <c r="C268" s="22"/>
      <c r="D268" s="22"/>
      <c r="E268" s="22"/>
      <c r="F268" s="22"/>
      <c r="G268" s="22"/>
      <c r="H268" s="22"/>
      <c r="I268" s="22"/>
    </row>
    <row r="269" ht="14.25" customHeight="1">
      <c r="A269" s="22"/>
      <c r="B269" s="113">
        <f>SUM(B264:B268)</f>
        <v>16</v>
      </c>
      <c r="C269" s="22"/>
      <c r="D269" s="22"/>
      <c r="E269" s="22"/>
      <c r="F269" s="22"/>
      <c r="G269" s="22"/>
      <c r="H269" s="22"/>
      <c r="I269" s="22"/>
    </row>
    <row r="270" ht="14.25" customHeight="1">
      <c r="A270" s="22"/>
      <c r="B270" s="22"/>
      <c r="C270" s="22"/>
      <c r="D270" s="22"/>
      <c r="E270" s="22"/>
      <c r="F270" s="22"/>
      <c r="G270" s="22"/>
      <c r="H270" s="22"/>
      <c r="I270" s="22"/>
    </row>
    <row r="271" ht="14.25" customHeight="1">
      <c r="A271" s="34" t="s">
        <v>72</v>
      </c>
      <c r="B271" s="22"/>
      <c r="C271" s="22"/>
      <c r="D271" s="22"/>
      <c r="E271" s="22"/>
      <c r="F271" s="22"/>
      <c r="G271" s="22"/>
      <c r="H271" s="22"/>
      <c r="I271" s="22"/>
    </row>
    <row r="272" ht="14.25" customHeight="1">
      <c r="A272" s="69" t="s">
        <v>67</v>
      </c>
      <c r="B272" s="69" t="s">
        <v>73</v>
      </c>
      <c r="C272" s="69" t="s">
        <v>74</v>
      </c>
      <c r="D272" s="69" t="s">
        <v>75</v>
      </c>
      <c r="E272" s="69" t="s">
        <v>68</v>
      </c>
      <c r="F272" s="22"/>
      <c r="G272" s="22"/>
      <c r="H272" s="22"/>
      <c r="I272" s="22"/>
    </row>
    <row r="273" ht="14.25" customHeight="1">
      <c r="A273" s="22" t="s">
        <v>120</v>
      </c>
      <c r="B273" s="22">
        <v>9.0</v>
      </c>
      <c r="C273" s="22">
        <v>0.0</v>
      </c>
      <c r="D273" s="22">
        <v>0.0</v>
      </c>
      <c r="E273" s="22">
        <v>9.0</v>
      </c>
      <c r="F273" s="22"/>
      <c r="G273" s="22"/>
      <c r="H273" s="22"/>
      <c r="I273" s="22"/>
    </row>
    <row r="274" ht="14.25" customHeight="1">
      <c r="A274" s="22" t="s">
        <v>69</v>
      </c>
      <c r="B274" s="22">
        <v>2.0</v>
      </c>
      <c r="C274" s="22">
        <v>0.0</v>
      </c>
      <c r="D274" s="22">
        <v>2.0</v>
      </c>
      <c r="E274" s="22">
        <v>4.0</v>
      </c>
      <c r="F274" s="22"/>
      <c r="G274" s="22"/>
      <c r="H274" s="22"/>
      <c r="I274" s="22"/>
    </row>
    <row r="275" ht="14.25" customHeight="1">
      <c r="A275" s="22" t="s">
        <v>130</v>
      </c>
      <c r="B275" s="22">
        <v>3.0</v>
      </c>
      <c r="C275" s="22">
        <v>0.0</v>
      </c>
      <c r="D275" s="22">
        <v>0.0</v>
      </c>
      <c r="E275" s="22">
        <v>3.0</v>
      </c>
      <c r="F275" s="22"/>
      <c r="G275" s="22"/>
      <c r="H275" s="22"/>
      <c r="I275" s="22"/>
    </row>
    <row r="276" ht="14.25" customHeight="1">
      <c r="A276" s="22"/>
      <c r="B276" s="22"/>
      <c r="C276" s="22"/>
      <c r="D276" s="22"/>
      <c r="E276" s="22"/>
      <c r="F276" s="22"/>
      <c r="G276" s="22"/>
      <c r="H276" s="22"/>
      <c r="I276" s="22"/>
    </row>
    <row r="277" ht="14.25" customHeight="1">
      <c r="A277" s="34" t="s">
        <v>77</v>
      </c>
      <c r="B277" s="22"/>
      <c r="C277" s="22"/>
      <c r="D277" s="22"/>
      <c r="E277" s="22"/>
      <c r="F277" s="22"/>
      <c r="G277" s="22"/>
      <c r="H277" s="22"/>
      <c r="I277" s="22"/>
    </row>
    <row r="278" ht="14.25" customHeight="1">
      <c r="A278" s="91" t="s">
        <v>79</v>
      </c>
      <c r="B278" s="91" t="s">
        <v>68</v>
      </c>
      <c r="C278" s="22"/>
      <c r="D278" s="22"/>
      <c r="E278" s="22"/>
      <c r="F278" s="22"/>
      <c r="G278" s="22"/>
      <c r="H278" s="22"/>
      <c r="I278" s="22"/>
    </row>
    <row r="279" ht="14.25" customHeight="1">
      <c r="A279" s="49" t="s">
        <v>133</v>
      </c>
      <c r="B279" s="49">
        <v>6.0</v>
      </c>
      <c r="C279" s="22"/>
      <c r="D279" s="22"/>
      <c r="E279" s="22"/>
      <c r="F279" s="22"/>
      <c r="G279" s="22"/>
      <c r="H279" s="22"/>
      <c r="I279" s="22"/>
    </row>
    <row r="280" ht="14.25" customHeight="1">
      <c r="A280" s="49" t="s">
        <v>88</v>
      </c>
      <c r="B280" s="49">
        <v>3.0</v>
      </c>
      <c r="C280" s="22"/>
      <c r="D280" s="22"/>
      <c r="E280" s="22"/>
      <c r="F280" s="22"/>
      <c r="G280" s="22"/>
      <c r="H280" s="22"/>
      <c r="I280" s="22"/>
    </row>
    <row r="281" ht="14.25" customHeight="1">
      <c r="A281" s="49" t="s">
        <v>126</v>
      </c>
      <c r="B281" s="49">
        <v>2.0</v>
      </c>
      <c r="C281" s="22"/>
      <c r="D281" s="22"/>
      <c r="E281" s="22"/>
      <c r="F281" s="22"/>
      <c r="G281" s="22"/>
      <c r="H281" s="22"/>
      <c r="I281" s="22"/>
    </row>
    <row r="282" ht="14.25" customHeight="1">
      <c r="A282" s="22"/>
      <c r="B282" s="22"/>
      <c r="C282" s="22"/>
      <c r="D282" s="22"/>
      <c r="E282" s="22"/>
      <c r="F282" s="22"/>
      <c r="G282" s="22"/>
      <c r="H282" s="22"/>
      <c r="I282" s="22"/>
    </row>
    <row r="283" ht="14.25" customHeight="1">
      <c r="A283" s="54" t="s">
        <v>7</v>
      </c>
      <c r="B283" s="55"/>
      <c r="C283" s="22"/>
      <c r="D283" s="22"/>
      <c r="E283" s="22"/>
      <c r="F283" s="22"/>
      <c r="G283" s="22"/>
      <c r="H283" s="22"/>
      <c r="I283" s="22"/>
    </row>
    <row r="284" ht="14.25" customHeight="1">
      <c r="A284" s="99" t="s">
        <v>0</v>
      </c>
      <c r="B284" s="100">
        <v>3600.0</v>
      </c>
      <c r="C284" s="3">
        <v>1.0</v>
      </c>
      <c r="D284" s="22"/>
      <c r="E284" s="22"/>
      <c r="F284" s="22"/>
      <c r="G284" s="22"/>
      <c r="H284" s="22"/>
      <c r="I284" s="22"/>
    </row>
    <row r="285" ht="14.25" customHeight="1">
      <c r="A285" s="22"/>
      <c r="B285" s="22"/>
      <c r="C285" s="22"/>
      <c r="D285" s="22"/>
      <c r="E285" s="22"/>
      <c r="F285" s="22"/>
      <c r="G285" s="22"/>
      <c r="H285" s="22"/>
      <c r="I285" s="22"/>
    </row>
    <row r="286" ht="14.25" customHeight="1">
      <c r="A286" s="4" t="s">
        <v>1</v>
      </c>
      <c r="B286" s="9">
        <v>46201.0</v>
      </c>
      <c r="C286" s="22"/>
      <c r="D286" s="22"/>
      <c r="E286" s="22"/>
      <c r="F286" s="22"/>
      <c r="G286" s="22"/>
      <c r="H286" s="22"/>
      <c r="I286" s="22"/>
    </row>
    <row r="287" ht="14.25" customHeight="1">
      <c r="A287" s="14" t="s">
        <v>3</v>
      </c>
      <c r="B287" s="101">
        <v>11.719999999999997</v>
      </c>
      <c r="C287" s="22"/>
      <c r="D287" s="22"/>
      <c r="E287" s="22"/>
      <c r="F287" s="22"/>
      <c r="G287" s="22"/>
      <c r="H287" s="22"/>
      <c r="I287" s="22"/>
    </row>
    <row r="288" ht="14.25" customHeight="1">
      <c r="A288" s="14" t="s">
        <v>4</v>
      </c>
      <c r="B288" s="102">
        <v>42191.99999999999</v>
      </c>
      <c r="C288" s="22"/>
      <c r="D288" s="22"/>
      <c r="E288" s="22"/>
      <c r="F288" s="22"/>
      <c r="G288" s="22"/>
      <c r="H288" s="22"/>
      <c r="I288" s="22"/>
    </row>
    <row r="289" ht="14.25" customHeight="1">
      <c r="A289" s="14" t="s">
        <v>5</v>
      </c>
      <c r="B289" s="103">
        <v>23.0</v>
      </c>
      <c r="C289" s="22"/>
      <c r="D289" s="22"/>
      <c r="E289" s="22"/>
      <c r="F289" s="22"/>
      <c r="G289" s="22"/>
      <c r="H289" s="22"/>
      <c r="I289" s="22"/>
    </row>
    <row r="290" ht="14.25" customHeight="1">
      <c r="A290" s="14" t="s">
        <v>6</v>
      </c>
      <c r="B290" s="102">
        <v>1834.4347826086953</v>
      </c>
      <c r="C290" s="22"/>
      <c r="D290" s="22"/>
      <c r="E290" s="22"/>
      <c r="F290" s="22"/>
      <c r="G290" s="22"/>
      <c r="H290" s="22"/>
      <c r="I290" s="22"/>
    </row>
    <row r="291" ht="14.25" customHeight="1">
      <c r="A291" s="14" t="s">
        <v>7</v>
      </c>
      <c r="B291" s="104" t="str">
        <f>B283</f>
        <v/>
      </c>
      <c r="C291" s="22"/>
      <c r="D291" s="22"/>
      <c r="E291" s="22"/>
      <c r="F291" s="22"/>
      <c r="G291" s="22"/>
      <c r="H291" s="22"/>
      <c r="I291" s="22"/>
    </row>
    <row r="292" ht="14.25" customHeight="1">
      <c r="A292" s="14" t="s">
        <v>9</v>
      </c>
      <c r="B292" s="25" t="str">
        <f>(B288*C284)/B291</f>
        <v>#DIV/0!</v>
      </c>
      <c r="C292" s="22"/>
      <c r="D292" s="22"/>
      <c r="E292" s="22"/>
      <c r="F292" s="22"/>
      <c r="G292" s="22"/>
      <c r="H292" s="22"/>
      <c r="I292" s="22"/>
    </row>
    <row r="293" ht="14.25" customHeight="1">
      <c r="A293" s="14" t="s">
        <v>18</v>
      </c>
      <c r="B293" s="105">
        <f>B291/B288</f>
        <v>0</v>
      </c>
      <c r="C293" s="22"/>
      <c r="D293" s="22"/>
      <c r="E293" s="22"/>
      <c r="F293" s="22"/>
      <c r="G293" s="22"/>
      <c r="H293" s="22"/>
      <c r="I293" s="22"/>
    </row>
    <row r="294" ht="14.25" customHeight="1">
      <c r="A294" s="14" t="s">
        <v>22</v>
      </c>
      <c r="B294" s="104" t="str">
        <f>AVERAGE(B291)</f>
        <v>#DIV/0!</v>
      </c>
      <c r="C294" s="22"/>
      <c r="D294" s="22"/>
      <c r="E294" s="22"/>
      <c r="F294" s="22"/>
      <c r="G294" s="22"/>
      <c r="H294" s="22"/>
      <c r="I294" s="22"/>
    </row>
    <row r="295" ht="14.25" customHeight="1">
      <c r="A295" s="14" t="s">
        <v>29</v>
      </c>
      <c r="B295" s="106">
        <f>(B290/B288)*C284</f>
        <v>0.04347826087</v>
      </c>
      <c r="C295" s="22"/>
      <c r="D295" s="22"/>
      <c r="E295" s="22"/>
      <c r="F295" s="22"/>
      <c r="G295" s="22"/>
      <c r="H295" s="22"/>
      <c r="I295" s="22"/>
    </row>
    <row r="296" ht="14.25" customHeight="1"/>
    <row r="297" ht="14.25" customHeight="1"/>
    <row r="298" ht="14.25" customHeight="1">
      <c r="A298" s="20" t="s">
        <v>172</v>
      </c>
    </row>
    <row r="299" ht="14.25" customHeight="1">
      <c r="A299" s="69" t="s">
        <v>36</v>
      </c>
      <c r="B299" s="69" t="s">
        <v>39</v>
      </c>
      <c r="C299" s="69" t="s">
        <v>42</v>
      </c>
      <c r="D299" s="69" t="s">
        <v>43</v>
      </c>
      <c r="E299" s="69" t="s">
        <v>44</v>
      </c>
      <c r="F299" s="69" t="s">
        <v>45</v>
      </c>
      <c r="G299" s="69" t="s">
        <v>46</v>
      </c>
      <c r="H299" s="69" t="s">
        <v>47</v>
      </c>
      <c r="I299" s="69" t="s">
        <v>111</v>
      </c>
    </row>
    <row r="300" ht="14.25" customHeight="1">
      <c r="A300" s="121" t="s">
        <v>173</v>
      </c>
      <c r="B300" s="121" t="s">
        <v>173</v>
      </c>
      <c r="C300" s="121" t="s">
        <v>50</v>
      </c>
      <c r="D300" s="121">
        <v>8.0</v>
      </c>
      <c r="E300" s="121">
        <v>0.76125</v>
      </c>
      <c r="F300" s="121">
        <v>6.09</v>
      </c>
      <c r="G300" s="121">
        <v>5389.0</v>
      </c>
      <c r="H300" s="121">
        <v>4630.0</v>
      </c>
      <c r="I300" s="121">
        <v>9.0</v>
      </c>
    </row>
    <row r="301" ht="14.25" customHeight="1">
      <c r="A301" s="121" t="s">
        <v>173</v>
      </c>
      <c r="B301" s="121" t="s">
        <v>173</v>
      </c>
      <c r="C301" s="121" t="s">
        <v>56</v>
      </c>
      <c r="D301" s="121">
        <v>6.0</v>
      </c>
      <c r="E301" s="121">
        <v>0.23</v>
      </c>
      <c r="F301" s="121">
        <v>1.38</v>
      </c>
      <c r="G301" s="121">
        <v>2100.0</v>
      </c>
      <c r="H301" s="121">
        <v>2046.0</v>
      </c>
      <c r="I301" s="121">
        <v>7.0</v>
      </c>
    </row>
    <row r="302" ht="14.25" customHeight="1">
      <c r="A302" s="121" t="s">
        <v>173</v>
      </c>
      <c r="B302" s="121" t="s">
        <v>173</v>
      </c>
      <c r="C302" s="121" t="s">
        <v>59</v>
      </c>
      <c r="D302" s="121">
        <v>1.0</v>
      </c>
      <c r="E302" s="121">
        <v>1.68</v>
      </c>
      <c r="F302" s="121">
        <v>1.68</v>
      </c>
      <c r="G302" s="121">
        <v>2872.0</v>
      </c>
      <c r="H302" s="121">
        <v>2786.0</v>
      </c>
      <c r="I302" s="121">
        <v>1.0</v>
      </c>
    </row>
    <row r="303" ht="14.25" customHeight="1">
      <c r="A303" s="121" t="s">
        <v>173</v>
      </c>
      <c r="B303" s="121" t="s">
        <v>173</v>
      </c>
      <c r="C303" s="121" t="s">
        <v>61</v>
      </c>
      <c r="D303" s="121">
        <v>2.0</v>
      </c>
      <c r="E303" s="121">
        <v>1.0</v>
      </c>
      <c r="F303" s="121">
        <v>2.0</v>
      </c>
      <c r="G303" s="121">
        <v>1737.0</v>
      </c>
      <c r="H303" s="121">
        <v>1659.0</v>
      </c>
      <c r="I303" s="121">
        <v>2.0</v>
      </c>
    </row>
    <row r="304" ht="14.25" customHeight="1">
      <c r="A304" s="121" t="s">
        <v>173</v>
      </c>
      <c r="B304" s="121" t="s">
        <v>173</v>
      </c>
      <c r="C304" s="121" t="s">
        <v>63</v>
      </c>
      <c r="D304" s="121">
        <v>3.0</v>
      </c>
      <c r="E304" s="121">
        <v>0.53666667</v>
      </c>
      <c r="F304" s="121">
        <v>1.61</v>
      </c>
      <c r="G304" s="121">
        <v>2328.0</v>
      </c>
      <c r="H304" s="121">
        <v>2200.0</v>
      </c>
      <c r="I304" s="121">
        <v>4.0</v>
      </c>
    </row>
    <row r="305" ht="14.25" customHeight="1">
      <c r="E305" s="107" t="s">
        <v>65</v>
      </c>
      <c r="F305" s="107">
        <f>SUM(F300:F304)</f>
        <v>12.76</v>
      </c>
      <c r="I305" s="69">
        <f>SUM(I300:I304)</f>
        <v>23</v>
      </c>
    </row>
    <row r="306" ht="14.25" customHeight="1"/>
    <row r="307" ht="14.25" customHeight="1"/>
    <row r="308" ht="14.25" customHeight="1">
      <c r="A308" s="34" t="s">
        <v>66</v>
      </c>
    </row>
    <row r="309" ht="14.25" customHeight="1">
      <c r="A309" s="69" t="s">
        <v>67</v>
      </c>
      <c r="B309" s="69" t="s">
        <v>68</v>
      </c>
    </row>
    <row r="310" ht="14.25" customHeight="1">
      <c r="A310" s="22" t="s">
        <v>121</v>
      </c>
      <c r="B310" s="22">
        <v>6.0</v>
      </c>
    </row>
    <row r="311" ht="14.25" customHeight="1">
      <c r="A311" s="22" t="s">
        <v>120</v>
      </c>
      <c r="B311" s="22">
        <v>6.0</v>
      </c>
    </row>
    <row r="312" ht="14.25" customHeight="1">
      <c r="A312" s="22" t="s">
        <v>70</v>
      </c>
      <c r="B312" s="22">
        <v>5.0</v>
      </c>
    </row>
    <row r="313" ht="14.25" customHeight="1">
      <c r="A313" s="22" t="s">
        <v>69</v>
      </c>
      <c r="B313" s="22">
        <v>5.0</v>
      </c>
    </row>
    <row r="314" ht="14.25" customHeight="1">
      <c r="A314" s="22" t="s">
        <v>122</v>
      </c>
      <c r="B314" s="22">
        <v>4.0</v>
      </c>
    </row>
    <row r="315" ht="14.25" customHeight="1">
      <c r="B315" s="113">
        <f>SUM(B310:B314)</f>
        <v>26</v>
      </c>
    </row>
    <row r="316" ht="14.25" customHeight="1"/>
    <row r="317" ht="14.25" customHeight="1">
      <c r="A317" s="34" t="s">
        <v>72</v>
      </c>
    </row>
    <row r="318" ht="14.25" customHeight="1">
      <c r="A318" s="69" t="s">
        <v>67</v>
      </c>
      <c r="B318" s="69" t="s">
        <v>73</v>
      </c>
      <c r="C318" s="69" t="s">
        <v>74</v>
      </c>
      <c r="D318" s="69" t="s">
        <v>75</v>
      </c>
      <c r="E318" s="69" t="s">
        <v>68</v>
      </c>
    </row>
    <row r="319" ht="14.25" customHeight="1">
      <c r="A319" s="22" t="s">
        <v>130</v>
      </c>
      <c r="B319" s="22">
        <v>47.0</v>
      </c>
      <c r="C319" s="22">
        <v>23.0</v>
      </c>
      <c r="D319" s="22">
        <v>7.0</v>
      </c>
      <c r="E319" s="22">
        <v>77.0</v>
      </c>
    </row>
    <row r="320" ht="14.25" customHeight="1">
      <c r="A320" s="22" t="s">
        <v>69</v>
      </c>
      <c r="B320" s="22">
        <v>26.0</v>
      </c>
      <c r="C320" s="22">
        <v>4.0</v>
      </c>
      <c r="D320" s="22">
        <v>10.0</v>
      </c>
      <c r="E320" s="22">
        <v>40.0</v>
      </c>
    </row>
    <row r="321" ht="14.25" customHeight="1">
      <c r="A321" s="22" t="s">
        <v>122</v>
      </c>
      <c r="B321" s="22">
        <v>1.0</v>
      </c>
      <c r="C321" s="22">
        <v>0.0</v>
      </c>
      <c r="D321" s="22">
        <v>0.0</v>
      </c>
      <c r="E321" s="22">
        <v>1.0</v>
      </c>
    </row>
    <row r="322" ht="14.25" customHeight="1"/>
    <row r="323" ht="14.25" customHeight="1">
      <c r="A323" s="34" t="s">
        <v>77</v>
      </c>
      <c r="B323" s="22"/>
    </row>
    <row r="324" ht="14.25" customHeight="1">
      <c r="A324" s="91" t="s">
        <v>79</v>
      </c>
      <c r="B324" s="91" t="s">
        <v>68</v>
      </c>
    </row>
    <row r="325" ht="14.25" customHeight="1">
      <c r="A325" s="49" t="s">
        <v>133</v>
      </c>
      <c r="B325" s="49">
        <v>7.0</v>
      </c>
    </row>
    <row r="326" ht="14.25" customHeight="1">
      <c r="A326" s="49" t="s">
        <v>83</v>
      </c>
      <c r="B326" s="49">
        <v>3.0</v>
      </c>
    </row>
    <row r="327" ht="14.25" customHeight="1">
      <c r="A327" s="49" t="s">
        <v>88</v>
      </c>
      <c r="B327" s="49">
        <v>2.0</v>
      </c>
    </row>
    <row r="328" ht="14.25" customHeight="1">
      <c r="A328" s="49" t="s">
        <v>126</v>
      </c>
      <c r="B328" s="49">
        <v>2.0</v>
      </c>
    </row>
    <row r="329" ht="14.25" customHeight="1">
      <c r="A329" s="49" t="s">
        <v>174</v>
      </c>
      <c r="B329" s="49">
        <v>1.0</v>
      </c>
    </row>
    <row r="330" ht="14.25" customHeight="1"/>
    <row r="331" ht="14.25" customHeight="1">
      <c r="A331" s="54" t="s">
        <v>7</v>
      </c>
      <c r="B331" s="55"/>
      <c r="C331" s="22"/>
    </row>
    <row r="332" ht="14.25" customHeight="1">
      <c r="A332" s="99" t="s">
        <v>0</v>
      </c>
      <c r="B332" s="100">
        <v>3600.0</v>
      </c>
      <c r="C332" s="3">
        <v>1.0</v>
      </c>
    </row>
    <row r="333" ht="14.25" customHeight="1">
      <c r="A333" s="22"/>
      <c r="B333" s="22"/>
      <c r="C333" s="22"/>
    </row>
    <row r="334" ht="14.25" customHeight="1">
      <c r="A334" s="4" t="s">
        <v>1</v>
      </c>
      <c r="B334" s="9">
        <v>46202.0</v>
      </c>
      <c r="C334" s="22"/>
    </row>
    <row r="335" ht="14.25" customHeight="1">
      <c r="A335" s="14" t="s">
        <v>3</v>
      </c>
      <c r="B335" s="101">
        <f>F305</f>
        <v>12.76</v>
      </c>
      <c r="C335" s="22"/>
    </row>
    <row r="336" ht="14.25" customHeight="1">
      <c r="A336" s="14" t="s">
        <v>4</v>
      </c>
      <c r="B336" s="102">
        <f>B335*B332</f>
        <v>45936</v>
      </c>
      <c r="C336" s="22"/>
    </row>
    <row r="337" ht="14.25" customHeight="1">
      <c r="A337" s="14" t="s">
        <v>5</v>
      </c>
      <c r="B337" s="103">
        <f>I305</f>
        <v>23</v>
      </c>
      <c r="C337" s="22"/>
    </row>
    <row r="338" ht="14.25" customHeight="1">
      <c r="A338" s="14" t="s">
        <v>6</v>
      </c>
      <c r="B338" s="102">
        <f>B336/B337</f>
        <v>1997.217391</v>
      </c>
      <c r="C338" s="22"/>
    </row>
    <row r="339" ht="14.25" customHeight="1">
      <c r="A339" s="14" t="s">
        <v>7</v>
      </c>
      <c r="B339" s="104" t="str">
        <f>B331</f>
        <v/>
      </c>
      <c r="C339" s="22"/>
    </row>
    <row r="340" ht="14.25" customHeight="1">
      <c r="A340" s="14" t="s">
        <v>9</v>
      </c>
      <c r="B340" s="25" t="str">
        <f>(B336*C332)/B339</f>
        <v>#DIV/0!</v>
      </c>
      <c r="C340" s="22"/>
    </row>
    <row r="341" ht="14.25" customHeight="1">
      <c r="A341" s="14" t="s">
        <v>18</v>
      </c>
      <c r="B341" s="105">
        <f>B339/B336</f>
        <v>0</v>
      </c>
      <c r="C341" s="22"/>
    </row>
    <row r="342" ht="14.25" customHeight="1">
      <c r="A342" s="14" t="s">
        <v>22</v>
      </c>
      <c r="B342" s="104" t="str">
        <f>AVERAGE(B339)</f>
        <v>#DIV/0!</v>
      </c>
      <c r="C342" s="22"/>
    </row>
    <row r="343" ht="14.25" customHeight="1">
      <c r="A343" s="14" t="s">
        <v>29</v>
      </c>
      <c r="B343" s="106">
        <f>(B338/B336)*C332</f>
        <v>0.04347826087</v>
      </c>
      <c r="C343" s="22"/>
    </row>
    <row r="344" ht="14.25" customHeight="1"/>
    <row r="345" ht="14.25" customHeight="1"/>
    <row r="346" ht="14.25" customHeight="1">
      <c r="A346" s="20" t="s">
        <v>177</v>
      </c>
      <c r="B346" s="22"/>
      <c r="C346" s="22"/>
      <c r="D346" s="22"/>
      <c r="E346" s="22"/>
      <c r="F346" s="22"/>
      <c r="G346" s="22"/>
      <c r="H346" s="22"/>
    </row>
    <row r="347" ht="14.25" customHeight="1">
      <c r="A347" s="69" t="s">
        <v>36</v>
      </c>
      <c r="B347" s="69" t="s">
        <v>39</v>
      </c>
      <c r="C347" s="69" t="s">
        <v>42</v>
      </c>
      <c r="D347" s="69" t="s">
        <v>44</v>
      </c>
      <c r="E347" s="69" t="s">
        <v>45</v>
      </c>
      <c r="F347" s="69" t="s">
        <v>46</v>
      </c>
      <c r="G347" s="69" t="s">
        <v>47</v>
      </c>
      <c r="H347" s="69" t="s">
        <v>111</v>
      </c>
    </row>
    <row r="348" ht="14.25" customHeight="1">
      <c r="A348" s="22" t="s">
        <v>178</v>
      </c>
      <c r="B348" s="22" t="s">
        <v>178</v>
      </c>
      <c r="C348" s="22" t="s">
        <v>50</v>
      </c>
      <c r="D348" s="22">
        <v>0.67230769</v>
      </c>
      <c r="E348" s="22">
        <v>8.74</v>
      </c>
      <c r="F348" s="22">
        <v>8257.0</v>
      </c>
      <c r="G348" s="22">
        <v>6602.0</v>
      </c>
      <c r="H348" s="22">
        <v>14.0</v>
      </c>
    </row>
    <row r="349" ht="14.25" customHeight="1">
      <c r="A349" s="22" t="s">
        <v>178</v>
      </c>
      <c r="B349" s="22" t="s">
        <v>178</v>
      </c>
      <c r="C349" s="22" t="s">
        <v>56</v>
      </c>
      <c r="D349" s="22">
        <v>0.4125</v>
      </c>
      <c r="E349" s="22">
        <v>1.65</v>
      </c>
      <c r="F349" s="22">
        <v>2602.0</v>
      </c>
      <c r="G349" s="22">
        <v>2561.0</v>
      </c>
      <c r="H349" s="22">
        <v>5.0</v>
      </c>
    </row>
    <row r="350" ht="14.25" customHeight="1">
      <c r="A350" s="22" t="s">
        <v>178</v>
      </c>
      <c r="B350" s="22" t="s">
        <v>178</v>
      </c>
      <c r="C350" s="22" t="s">
        <v>59</v>
      </c>
      <c r="D350" s="22">
        <v>0.21625</v>
      </c>
      <c r="E350" s="22">
        <v>1.73</v>
      </c>
      <c r="F350" s="22">
        <v>2408.0</v>
      </c>
      <c r="G350" s="22">
        <v>2348.0</v>
      </c>
      <c r="H350" s="22">
        <v>8.0</v>
      </c>
    </row>
    <row r="351" ht="14.25" customHeight="1">
      <c r="A351" s="22" t="s">
        <v>178</v>
      </c>
      <c r="B351" s="22" t="s">
        <v>178</v>
      </c>
      <c r="C351" s="22" t="s">
        <v>61</v>
      </c>
      <c r="D351" s="22">
        <v>1.52</v>
      </c>
      <c r="E351" s="22">
        <v>1.52</v>
      </c>
      <c r="F351" s="22">
        <v>1596.0</v>
      </c>
      <c r="G351" s="22">
        <v>1539.0</v>
      </c>
      <c r="H351" s="22">
        <v>1.0</v>
      </c>
    </row>
    <row r="352" ht="14.25" customHeight="1">
      <c r="A352" s="22" t="s">
        <v>178</v>
      </c>
      <c r="B352" s="22" t="s">
        <v>178</v>
      </c>
      <c r="C352" s="22" t="s">
        <v>63</v>
      </c>
      <c r="D352" s="22">
        <v>0.316</v>
      </c>
      <c r="E352" s="22">
        <v>1.58</v>
      </c>
      <c r="F352" s="22">
        <v>2661.0</v>
      </c>
      <c r="G352" s="22">
        <v>2528.0</v>
      </c>
      <c r="H352" s="22">
        <v>5.0</v>
      </c>
    </row>
    <row r="353" ht="14.25" customHeight="1">
      <c r="A353" s="22"/>
      <c r="B353" s="22"/>
      <c r="C353" s="22"/>
      <c r="D353" s="107" t="s">
        <v>65</v>
      </c>
      <c r="E353" s="107">
        <f>SUM(E348:E352)</f>
        <v>15.22</v>
      </c>
      <c r="F353" s="22"/>
      <c r="G353" s="22"/>
      <c r="H353" s="85">
        <f>SUM(H348:H352)</f>
        <v>33</v>
      </c>
    </row>
    <row r="354" ht="14.25" customHeight="1">
      <c r="A354" s="22"/>
      <c r="B354" s="22"/>
      <c r="C354" s="22"/>
      <c r="D354" s="22"/>
      <c r="E354" s="22"/>
      <c r="F354" s="22"/>
      <c r="G354" s="22"/>
      <c r="H354" s="22"/>
    </row>
    <row r="355" ht="14.25" customHeight="1">
      <c r="A355" s="34" t="s">
        <v>66</v>
      </c>
      <c r="B355" s="22"/>
      <c r="C355" s="22"/>
      <c r="D355" s="22"/>
      <c r="E355" s="22"/>
      <c r="F355" s="22"/>
      <c r="G355" s="22"/>
      <c r="H355" s="22"/>
    </row>
    <row r="356" ht="14.25" customHeight="1">
      <c r="A356" s="91" t="s">
        <v>67</v>
      </c>
      <c r="B356" s="91" t="s">
        <v>68</v>
      </c>
      <c r="C356" s="22"/>
      <c r="D356" s="22"/>
      <c r="E356" s="22"/>
      <c r="F356" s="22"/>
      <c r="G356" s="22"/>
      <c r="H356" s="22"/>
    </row>
    <row r="357" ht="14.25" customHeight="1">
      <c r="A357" s="49" t="s">
        <v>69</v>
      </c>
      <c r="B357" s="49">
        <v>13.0</v>
      </c>
      <c r="C357" s="22"/>
      <c r="D357" s="22"/>
      <c r="E357" s="22"/>
      <c r="F357" s="22"/>
      <c r="G357" s="22"/>
      <c r="H357" s="22"/>
    </row>
    <row r="358" ht="14.25" customHeight="1">
      <c r="A358" s="49" t="s">
        <v>70</v>
      </c>
      <c r="B358" s="49">
        <v>11.0</v>
      </c>
      <c r="C358" s="22"/>
      <c r="D358" s="22"/>
      <c r="E358" s="22"/>
      <c r="F358" s="22"/>
      <c r="G358" s="22"/>
      <c r="H358" s="22"/>
    </row>
    <row r="359" ht="14.25" customHeight="1">
      <c r="A359" s="49" t="s">
        <v>121</v>
      </c>
      <c r="B359" s="49">
        <v>9.0</v>
      </c>
      <c r="C359" s="22"/>
      <c r="D359" s="22"/>
      <c r="E359" s="22"/>
      <c r="F359" s="22"/>
      <c r="G359" s="22"/>
      <c r="H359" s="22"/>
    </row>
    <row r="360" ht="14.25" customHeight="1">
      <c r="A360" s="49" t="s">
        <v>120</v>
      </c>
      <c r="B360" s="49">
        <v>9.0</v>
      </c>
      <c r="C360" s="22"/>
      <c r="D360" s="22"/>
      <c r="E360" s="22"/>
      <c r="F360" s="22"/>
      <c r="G360" s="22"/>
      <c r="H360" s="22"/>
    </row>
    <row r="361" ht="14.25" customHeight="1">
      <c r="A361" s="49" t="s">
        <v>123</v>
      </c>
      <c r="B361" s="49">
        <v>7.0</v>
      </c>
      <c r="C361" s="22"/>
      <c r="D361" s="22"/>
      <c r="E361" s="22"/>
      <c r="F361" s="22"/>
      <c r="G361" s="22"/>
      <c r="H361" s="22"/>
    </row>
    <row r="362" ht="14.25" customHeight="1">
      <c r="A362" s="49" t="s">
        <v>122</v>
      </c>
      <c r="B362" s="49">
        <v>7.0</v>
      </c>
      <c r="C362" s="22"/>
      <c r="D362" s="22"/>
      <c r="E362" s="22"/>
      <c r="F362" s="22"/>
      <c r="G362" s="22"/>
      <c r="H362" s="22"/>
    </row>
    <row r="363" ht="14.25" customHeight="1">
      <c r="A363" s="22"/>
      <c r="B363" s="85">
        <f>SUM(B357:B362)</f>
        <v>56</v>
      </c>
      <c r="C363" s="22"/>
      <c r="D363" s="22"/>
      <c r="E363" s="22"/>
      <c r="F363" s="22"/>
      <c r="G363" s="22"/>
      <c r="H363" s="22"/>
    </row>
    <row r="364" ht="14.25" customHeight="1">
      <c r="A364" s="22"/>
      <c r="B364" s="22"/>
      <c r="C364" s="22"/>
      <c r="D364" s="22"/>
      <c r="E364" s="22"/>
      <c r="F364" s="22"/>
      <c r="G364" s="22"/>
      <c r="H364" s="22"/>
    </row>
    <row r="365" ht="14.25" customHeight="1">
      <c r="A365" s="34" t="s">
        <v>72</v>
      </c>
      <c r="B365" s="22"/>
      <c r="C365" s="22"/>
      <c r="D365" s="22"/>
      <c r="E365" s="22"/>
      <c r="F365" s="22"/>
      <c r="G365" s="22"/>
      <c r="H365" s="22"/>
    </row>
    <row r="366" ht="14.25" customHeight="1">
      <c r="A366" s="69" t="s">
        <v>67</v>
      </c>
      <c r="B366" s="69" t="s">
        <v>73</v>
      </c>
      <c r="C366" s="69" t="s">
        <v>74</v>
      </c>
      <c r="D366" s="69" t="s">
        <v>75</v>
      </c>
      <c r="E366" s="69" t="s">
        <v>68</v>
      </c>
      <c r="F366" s="22"/>
      <c r="G366" s="22"/>
      <c r="H366" s="22"/>
    </row>
    <row r="367" ht="14.25" customHeight="1">
      <c r="A367" s="22" t="s">
        <v>70</v>
      </c>
      <c r="B367" s="22">
        <v>46.0</v>
      </c>
      <c r="C367" s="22">
        <v>15.0</v>
      </c>
      <c r="D367" s="22">
        <v>6.0</v>
      </c>
      <c r="E367" s="22">
        <v>67.0</v>
      </c>
      <c r="F367" s="22"/>
      <c r="G367" s="22"/>
      <c r="H367" s="22"/>
    </row>
    <row r="368" ht="14.25" customHeight="1">
      <c r="A368" s="22" t="s">
        <v>125</v>
      </c>
      <c r="B368" s="22">
        <v>25.0</v>
      </c>
      <c r="C368" s="22">
        <v>0.0</v>
      </c>
      <c r="D368" s="22">
        <v>0.0</v>
      </c>
      <c r="E368" s="22">
        <v>25.0</v>
      </c>
      <c r="F368" s="22"/>
      <c r="G368" s="22"/>
      <c r="H368" s="22"/>
    </row>
    <row r="369" ht="14.25" customHeight="1">
      <c r="A369" s="22" t="s">
        <v>69</v>
      </c>
      <c r="B369" s="22">
        <v>11.0</v>
      </c>
      <c r="C369" s="22">
        <v>1.0</v>
      </c>
      <c r="D369" s="22">
        <v>12.0</v>
      </c>
      <c r="E369" s="22">
        <v>24.0</v>
      </c>
      <c r="F369" s="22"/>
      <c r="G369" s="22"/>
      <c r="H369" s="22"/>
    </row>
    <row r="370" ht="14.25" customHeight="1">
      <c r="A370" s="22" t="s">
        <v>130</v>
      </c>
      <c r="B370" s="22">
        <v>11.0</v>
      </c>
      <c r="C370" s="22">
        <v>4.0</v>
      </c>
      <c r="D370" s="22">
        <v>4.0</v>
      </c>
      <c r="E370" s="22">
        <v>19.0</v>
      </c>
      <c r="F370" s="22"/>
      <c r="G370" s="22"/>
      <c r="H370" s="22"/>
    </row>
    <row r="371" ht="14.25" customHeight="1">
      <c r="A371" s="22" t="s">
        <v>120</v>
      </c>
      <c r="B371" s="22">
        <v>0.0</v>
      </c>
      <c r="C371" s="22">
        <v>0.0</v>
      </c>
      <c r="D371" s="22">
        <v>4.0</v>
      </c>
      <c r="E371" s="22">
        <v>4.0</v>
      </c>
      <c r="F371" s="22"/>
      <c r="G371" s="22"/>
      <c r="H371" s="22"/>
    </row>
    <row r="372" ht="14.25" customHeight="1">
      <c r="A372" s="22" t="s">
        <v>122</v>
      </c>
      <c r="B372" s="22">
        <v>1.0</v>
      </c>
      <c r="C372" s="22">
        <v>0.0</v>
      </c>
      <c r="D372" s="22">
        <v>0.0</v>
      </c>
      <c r="E372" s="22">
        <v>1.0</v>
      </c>
      <c r="F372" s="22"/>
      <c r="G372" s="22"/>
      <c r="H372" s="22"/>
    </row>
    <row r="373" ht="14.25" customHeight="1">
      <c r="A373" s="22"/>
      <c r="B373" s="22"/>
      <c r="C373" s="22"/>
      <c r="D373" s="22"/>
      <c r="E373" s="22"/>
      <c r="F373" s="22"/>
      <c r="G373" s="22"/>
      <c r="H373" s="22"/>
    </row>
    <row r="374" ht="14.25" customHeight="1">
      <c r="A374" s="34" t="s">
        <v>77</v>
      </c>
      <c r="B374" s="22"/>
      <c r="C374" s="22"/>
      <c r="D374" s="22"/>
      <c r="E374" s="22"/>
      <c r="F374" s="22"/>
      <c r="G374" s="22"/>
      <c r="H374" s="22"/>
    </row>
    <row r="375" ht="14.25" customHeight="1">
      <c r="A375" s="91" t="s">
        <v>79</v>
      </c>
      <c r="B375" s="91" t="s">
        <v>68</v>
      </c>
      <c r="C375" s="22"/>
      <c r="D375" s="22"/>
      <c r="E375" s="22"/>
      <c r="F375" s="22"/>
      <c r="G375" s="22"/>
      <c r="H375" s="22"/>
    </row>
    <row r="376" ht="14.25" customHeight="1">
      <c r="A376" s="49" t="s">
        <v>133</v>
      </c>
      <c r="B376" s="49">
        <v>18.0</v>
      </c>
      <c r="C376" s="22"/>
      <c r="D376" s="22"/>
      <c r="E376" s="22"/>
      <c r="F376" s="22"/>
      <c r="G376" s="22"/>
      <c r="H376" s="22"/>
    </row>
    <row r="377" ht="14.25" customHeight="1">
      <c r="A377" s="49" t="s">
        <v>126</v>
      </c>
      <c r="B377" s="49">
        <v>16.0</v>
      </c>
      <c r="C377" s="22"/>
      <c r="D377" s="22"/>
      <c r="E377" s="22"/>
      <c r="F377" s="22"/>
      <c r="G377" s="22"/>
      <c r="H377" s="22"/>
    </row>
    <row r="378" ht="14.25" customHeight="1">
      <c r="A378" s="49" t="s">
        <v>88</v>
      </c>
      <c r="B378" s="49">
        <v>15.0</v>
      </c>
      <c r="C378" s="22"/>
      <c r="D378" s="22"/>
      <c r="E378" s="22"/>
      <c r="F378" s="22"/>
      <c r="G378" s="22"/>
      <c r="H378" s="22"/>
    </row>
    <row r="379" ht="14.25" customHeight="1">
      <c r="A379" s="49" t="s">
        <v>83</v>
      </c>
      <c r="B379" s="49">
        <v>7.0</v>
      </c>
      <c r="C379" s="22"/>
      <c r="D379" s="22"/>
      <c r="E379" s="22"/>
      <c r="F379" s="22"/>
      <c r="G379" s="22"/>
      <c r="H379" s="22"/>
    </row>
    <row r="380" ht="14.25" customHeight="1">
      <c r="A380" s="49" t="s">
        <v>84</v>
      </c>
      <c r="B380" s="49">
        <v>4.0</v>
      </c>
      <c r="C380" s="22"/>
      <c r="D380" s="22"/>
      <c r="E380" s="22"/>
      <c r="F380" s="22"/>
      <c r="G380" s="22"/>
      <c r="H380" s="22"/>
    </row>
    <row r="381" ht="14.25" customHeight="1">
      <c r="A381" s="49" t="s">
        <v>86</v>
      </c>
      <c r="B381" s="49">
        <v>3.0</v>
      </c>
      <c r="C381" s="22"/>
      <c r="D381" s="22"/>
      <c r="E381" s="22"/>
      <c r="F381" s="22"/>
      <c r="G381" s="22"/>
      <c r="H381" s="22"/>
    </row>
    <row r="382" ht="14.25" customHeight="1">
      <c r="A382" s="22"/>
      <c r="B382" s="22"/>
      <c r="C382" s="22"/>
      <c r="D382" s="22"/>
      <c r="E382" s="22"/>
      <c r="F382" s="22"/>
      <c r="G382" s="22"/>
      <c r="H382" s="22"/>
    </row>
    <row r="383" ht="14.25" customHeight="1">
      <c r="A383" s="54" t="s">
        <v>7</v>
      </c>
      <c r="B383" s="55"/>
      <c r="C383" s="22"/>
      <c r="D383" s="22"/>
      <c r="E383" s="22"/>
      <c r="F383" s="22"/>
      <c r="G383" s="22"/>
      <c r="H383" s="22"/>
    </row>
    <row r="384" ht="14.25" customHeight="1">
      <c r="A384" s="99" t="s">
        <v>0</v>
      </c>
      <c r="B384" s="100">
        <v>3600.0</v>
      </c>
      <c r="C384" s="3">
        <v>1.0</v>
      </c>
      <c r="D384" s="22"/>
      <c r="E384" s="22"/>
      <c r="F384" s="22"/>
      <c r="G384" s="22"/>
      <c r="H384" s="22"/>
    </row>
    <row r="385" ht="14.25" customHeight="1">
      <c r="A385" s="22"/>
      <c r="B385" s="22"/>
      <c r="C385" s="22"/>
      <c r="D385" s="22"/>
      <c r="E385" s="22"/>
      <c r="F385" s="22"/>
      <c r="G385" s="22"/>
      <c r="H385" s="22"/>
    </row>
    <row r="386" ht="14.25" customHeight="1">
      <c r="A386" s="4" t="s">
        <v>1</v>
      </c>
      <c r="B386" s="9">
        <v>46203.0</v>
      </c>
      <c r="C386" s="22"/>
      <c r="D386" s="22"/>
      <c r="E386" s="22"/>
      <c r="F386" s="22"/>
      <c r="G386" s="22"/>
      <c r="H386" s="22"/>
    </row>
    <row r="387" ht="14.25" customHeight="1">
      <c r="A387" s="14" t="s">
        <v>3</v>
      </c>
      <c r="B387" s="101">
        <f>E353</f>
        <v>15.22</v>
      </c>
      <c r="C387" s="22"/>
      <c r="D387" s="22"/>
      <c r="E387" s="22"/>
      <c r="F387" s="22"/>
      <c r="G387" s="22"/>
      <c r="H387" s="22"/>
    </row>
    <row r="388" ht="14.25" customHeight="1">
      <c r="A388" s="14" t="s">
        <v>4</v>
      </c>
      <c r="B388" s="102">
        <f>B387*B384</f>
        <v>54792</v>
      </c>
      <c r="C388" s="22"/>
      <c r="D388" s="22"/>
      <c r="E388" s="22"/>
      <c r="F388" s="22"/>
      <c r="G388" s="22"/>
      <c r="H388" s="22"/>
    </row>
    <row r="389" ht="14.25" customHeight="1">
      <c r="A389" s="14" t="s">
        <v>5</v>
      </c>
      <c r="B389" s="103">
        <f>H353</f>
        <v>33</v>
      </c>
      <c r="C389" s="22"/>
      <c r="D389" s="22"/>
      <c r="E389" s="22"/>
      <c r="F389" s="22"/>
      <c r="G389" s="22"/>
      <c r="H389" s="22"/>
    </row>
    <row r="390" ht="14.25" customHeight="1">
      <c r="A390" s="14" t="s">
        <v>6</v>
      </c>
      <c r="B390" s="102">
        <f>B388/B389</f>
        <v>1660.363636</v>
      </c>
      <c r="C390" s="22"/>
      <c r="D390" s="22"/>
      <c r="E390" s="22"/>
      <c r="F390" s="22"/>
      <c r="G390" s="22"/>
      <c r="H390" s="22"/>
    </row>
    <row r="391" ht="14.25" customHeight="1">
      <c r="A391" s="14" t="s">
        <v>7</v>
      </c>
      <c r="B391" s="104" t="str">
        <f>B383</f>
        <v/>
      </c>
      <c r="C391" s="22"/>
      <c r="D391" s="22"/>
      <c r="E391" s="22"/>
      <c r="F391" s="22"/>
      <c r="G391" s="22"/>
      <c r="H391" s="22"/>
    </row>
    <row r="392" ht="14.25" customHeight="1">
      <c r="A392" s="14" t="s">
        <v>9</v>
      </c>
      <c r="B392" s="25" t="str">
        <f>(B388*C384)/B391</f>
        <v>#DIV/0!</v>
      </c>
      <c r="C392" s="22"/>
      <c r="D392" s="22"/>
      <c r="E392" s="22"/>
      <c r="F392" s="22"/>
      <c r="G392" s="22"/>
      <c r="H392" s="22"/>
    </row>
    <row r="393" ht="14.25" customHeight="1">
      <c r="A393" s="14" t="s">
        <v>18</v>
      </c>
      <c r="B393" s="105">
        <f>B391/B388</f>
        <v>0</v>
      </c>
      <c r="C393" s="22"/>
      <c r="D393" s="22"/>
      <c r="E393" s="22"/>
      <c r="F393" s="22"/>
      <c r="G393" s="22"/>
      <c r="H393" s="22"/>
    </row>
    <row r="394" ht="14.25" customHeight="1">
      <c r="A394" s="14" t="s">
        <v>22</v>
      </c>
      <c r="B394" s="104" t="str">
        <f>AVERAGE(B391)</f>
        <v>#DIV/0!</v>
      </c>
      <c r="C394" s="22"/>
      <c r="D394" s="22"/>
      <c r="E394" s="22"/>
      <c r="F394" s="22"/>
      <c r="G394" s="22"/>
      <c r="H394" s="22"/>
    </row>
    <row r="395" ht="14.25" customHeight="1">
      <c r="A395" s="14" t="s">
        <v>29</v>
      </c>
      <c r="B395" s="106">
        <f>(B390/B388)*C384</f>
        <v>0.0303030303</v>
      </c>
      <c r="C395" s="22"/>
      <c r="D395" s="22"/>
      <c r="E395" s="22"/>
      <c r="F395" s="22"/>
      <c r="G395" s="22"/>
      <c r="H395" s="22"/>
    </row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40.57"/>
    <col customWidth="1" min="2" max="2" width="19.0"/>
    <col customWidth="1" min="3" max="3" width="36.0"/>
    <col customWidth="1" min="4" max="4" width="18.29"/>
    <col customWidth="1" min="5" max="5" width="20.29"/>
    <col customWidth="1" min="6" max="6" width="15.86"/>
    <col customWidth="1" min="7" max="7" width="11.43"/>
    <col customWidth="1" min="8" max="8" width="15.86"/>
    <col customWidth="1" min="9" max="16" width="11.43"/>
    <col customWidth="1" min="17" max="18" width="12.0"/>
    <col customWidth="1" min="19" max="19" width="10.71"/>
    <col customWidth="1" min="20" max="20" width="30.86"/>
    <col customWidth="1" min="21" max="32" width="10.71"/>
    <col customWidth="1" min="33" max="33" width="11.43"/>
  </cols>
  <sheetData>
    <row r="1" ht="14.25" customHeight="1"/>
    <row r="2" ht="14.25" customHeight="1">
      <c r="A2" s="1" t="s">
        <v>0</v>
      </c>
      <c r="B2" s="2">
        <v>3600.0</v>
      </c>
      <c r="C2" s="3">
        <v>1.0</v>
      </c>
    </row>
    <row r="3" ht="14.25" customHeight="1"/>
    <row r="4" ht="14.25" customHeight="1">
      <c r="A4" s="4" t="s">
        <v>1</v>
      </c>
      <c r="B4" s="9">
        <v>46204.0</v>
      </c>
      <c r="C4" s="9">
        <v>46205.0</v>
      </c>
      <c r="D4" s="9">
        <v>46206.0</v>
      </c>
      <c r="E4" s="9">
        <v>46207.0</v>
      </c>
      <c r="F4" s="9">
        <v>46208.0</v>
      </c>
      <c r="G4" s="9">
        <v>46209.0</v>
      </c>
      <c r="H4" s="9">
        <v>46210.0</v>
      </c>
      <c r="I4" s="9">
        <v>46211.0</v>
      </c>
      <c r="J4" s="9">
        <v>46212.0</v>
      </c>
      <c r="K4" s="9">
        <v>46213.0</v>
      </c>
      <c r="L4" s="9">
        <v>46214.0</v>
      </c>
      <c r="M4" s="9">
        <v>46215.0</v>
      </c>
      <c r="N4" s="9">
        <v>46216.0</v>
      </c>
      <c r="O4" s="9">
        <v>46217.0</v>
      </c>
      <c r="P4" s="9">
        <v>46218.0</v>
      </c>
      <c r="Q4" s="11" t="s">
        <v>2</v>
      </c>
    </row>
    <row r="5" ht="14.25" customHeight="1">
      <c r="A5" s="6" t="s">
        <v>3</v>
      </c>
      <c r="B5" s="7">
        <v>14.780000000000001</v>
      </c>
      <c r="C5" s="7">
        <v>13.36</v>
      </c>
      <c r="D5" s="7">
        <v>12.149999999999999</v>
      </c>
      <c r="E5" s="7">
        <v>15.52</v>
      </c>
      <c r="F5" s="7">
        <v>12.1</v>
      </c>
      <c r="G5" s="12" t="s">
        <v>8</v>
      </c>
      <c r="H5" s="13" t="str">
        <f t="shared" ref="H5:H13" si="1">B418</f>
        <v>$ 14,01</v>
      </c>
      <c r="I5" s="13" t="s">
        <v>10</v>
      </c>
      <c r="J5" s="13" t="s">
        <v>11</v>
      </c>
      <c r="K5" s="13" t="s">
        <v>12</v>
      </c>
      <c r="L5" s="13" t="s">
        <v>13</v>
      </c>
      <c r="M5" s="13" t="s">
        <v>14</v>
      </c>
      <c r="N5" s="13" t="s">
        <v>15</v>
      </c>
      <c r="O5" s="13" t="s">
        <v>16</v>
      </c>
      <c r="P5" s="13" t="s">
        <v>17</v>
      </c>
      <c r="Q5" s="16">
        <f t="shared" ref="Q5:Q7" si="2">SUM(B5:P5)</f>
        <v>67.91</v>
      </c>
    </row>
    <row r="6" ht="14.25" customHeight="1">
      <c r="A6" s="6" t="s">
        <v>4</v>
      </c>
      <c r="B6" s="8">
        <v>53208.00000000001</v>
      </c>
      <c r="C6" s="8">
        <v>48096.0</v>
      </c>
      <c r="D6" s="8">
        <v>43739.99999999999</v>
      </c>
      <c r="E6" s="8">
        <v>55872.0</v>
      </c>
      <c r="F6" s="8">
        <v>43560.0</v>
      </c>
      <c r="G6" s="12" t="s">
        <v>19</v>
      </c>
      <c r="H6" s="13" t="str">
        <f t="shared" si="1"/>
        <v>$ 50.436</v>
      </c>
      <c r="I6" s="13" t="s">
        <v>20</v>
      </c>
      <c r="J6" s="13" t="s">
        <v>21</v>
      </c>
      <c r="K6" s="13" t="s">
        <v>23</v>
      </c>
      <c r="L6" s="13" t="s">
        <v>24</v>
      </c>
      <c r="M6" s="13" t="s">
        <v>25</v>
      </c>
      <c r="N6" s="13" t="s">
        <v>26</v>
      </c>
      <c r="O6" s="13" t="s">
        <v>27</v>
      </c>
      <c r="P6" s="13" t="s">
        <v>28</v>
      </c>
      <c r="Q6" s="18">
        <f t="shared" si="2"/>
        <v>244476</v>
      </c>
    </row>
    <row r="7" ht="14.25" customHeight="1">
      <c r="A7" s="6" t="s">
        <v>5</v>
      </c>
      <c r="B7" s="10">
        <v>22.0</v>
      </c>
      <c r="C7" s="10">
        <v>24.0</v>
      </c>
      <c r="D7" s="10">
        <v>16.0</v>
      </c>
      <c r="E7" s="10">
        <v>29.0</v>
      </c>
      <c r="F7" s="10">
        <v>23.0</v>
      </c>
      <c r="G7" s="13">
        <v>22.0</v>
      </c>
      <c r="H7" s="13">
        <f t="shared" si="1"/>
        <v>27</v>
      </c>
      <c r="I7" s="13">
        <v>24.0</v>
      </c>
      <c r="J7" s="13">
        <v>17.0</v>
      </c>
      <c r="K7" s="13">
        <v>21.0</v>
      </c>
      <c r="L7" s="13">
        <v>22.0</v>
      </c>
      <c r="M7" s="13">
        <v>19.0</v>
      </c>
      <c r="N7" s="13">
        <v>22.0</v>
      </c>
      <c r="O7" s="13">
        <v>27.0</v>
      </c>
      <c r="P7" s="13">
        <v>11.0</v>
      </c>
      <c r="Q7" s="18">
        <f t="shared" si="2"/>
        <v>326</v>
      </c>
    </row>
    <row r="8" ht="14.25" customHeight="1">
      <c r="A8" s="6" t="s">
        <v>6</v>
      </c>
      <c r="B8" s="8">
        <v>2418.545454545455</v>
      </c>
      <c r="C8" s="8">
        <v>2004.0</v>
      </c>
      <c r="D8" s="8">
        <v>2733.7499999999995</v>
      </c>
      <c r="E8" s="8">
        <v>1926.6206896551723</v>
      </c>
      <c r="F8" s="8">
        <v>1893.9130434782608</v>
      </c>
      <c r="G8" s="21" t="s">
        <v>31</v>
      </c>
      <c r="H8" s="13" t="str">
        <f t="shared" si="1"/>
        <v>$ 1.868</v>
      </c>
      <c r="I8" s="13" t="s">
        <v>32</v>
      </c>
      <c r="J8" s="13" t="s">
        <v>33</v>
      </c>
      <c r="K8" s="13" t="s">
        <v>34</v>
      </c>
      <c r="L8" s="13" t="s">
        <v>35</v>
      </c>
      <c r="M8" s="13" t="s">
        <v>37</v>
      </c>
      <c r="N8" s="13" t="s">
        <v>38</v>
      </c>
      <c r="O8" s="13" t="s">
        <v>40</v>
      </c>
      <c r="P8" s="13" t="s">
        <v>41</v>
      </c>
      <c r="Q8" s="18">
        <f>AVERAGE(B8:P8)</f>
        <v>2195.365838</v>
      </c>
    </row>
    <row r="9" ht="14.25" customHeight="1">
      <c r="A9" s="6" t="s">
        <v>7</v>
      </c>
      <c r="B9" s="8">
        <v>483600.0</v>
      </c>
      <c r="C9" s="8">
        <v>105000.0</v>
      </c>
      <c r="D9" s="8">
        <v>362800.0</v>
      </c>
      <c r="E9" s="8">
        <v>215800.0</v>
      </c>
      <c r="F9" s="8">
        <v>0.0</v>
      </c>
      <c r="G9" s="21" t="s">
        <v>51</v>
      </c>
      <c r="H9" s="13" t="str">
        <f t="shared" si="1"/>
        <v>$ -</v>
      </c>
      <c r="I9" s="13" t="s">
        <v>52</v>
      </c>
      <c r="J9" s="13" t="s">
        <v>53</v>
      </c>
      <c r="K9" s="13" t="s">
        <v>54</v>
      </c>
      <c r="L9" s="13" t="s">
        <v>55</v>
      </c>
      <c r="M9" s="13" t="s">
        <v>54</v>
      </c>
      <c r="N9" s="13" t="s">
        <v>54</v>
      </c>
      <c r="O9" s="13" t="s">
        <v>57</v>
      </c>
      <c r="P9" s="13" t="s">
        <v>58</v>
      </c>
      <c r="Q9" s="18">
        <f>SUM(B9:P9)</f>
        <v>1167200</v>
      </c>
    </row>
    <row r="10" ht="14.25" customHeight="1">
      <c r="A10" s="14" t="s">
        <v>9</v>
      </c>
      <c r="B10" s="15">
        <v>0.11002481389578166</v>
      </c>
      <c r="C10" s="15">
        <v>0.45805714285714283</v>
      </c>
      <c r="D10" s="15">
        <v>0.1205622932745314</v>
      </c>
      <c r="E10" s="15">
        <v>0.25890639481000927</v>
      </c>
      <c r="F10" s="25" t="s">
        <v>60</v>
      </c>
      <c r="G10" s="26">
        <v>0.14</v>
      </c>
      <c r="H10" s="13" t="str">
        <f t="shared" si="1"/>
        <v>#¡DIV/0!</v>
      </c>
      <c r="I10" s="26">
        <v>0.17</v>
      </c>
      <c r="J10" s="26">
        <v>0.11</v>
      </c>
      <c r="K10" s="13" t="s">
        <v>64</v>
      </c>
      <c r="L10" s="26">
        <v>0.24</v>
      </c>
      <c r="M10" s="13" t="s">
        <v>64</v>
      </c>
      <c r="N10" s="13" t="s">
        <v>64</v>
      </c>
      <c r="O10" s="26">
        <v>0.18</v>
      </c>
      <c r="P10" s="26">
        <v>0.05</v>
      </c>
      <c r="Q10" s="30"/>
    </row>
    <row r="11" ht="14.25" customHeight="1">
      <c r="A11" s="6" t="s">
        <v>18</v>
      </c>
      <c r="B11" s="17">
        <v>9.088858818222823</v>
      </c>
      <c r="C11" s="17">
        <v>2.1831337325349303</v>
      </c>
      <c r="D11" s="17">
        <v>8.294467306812987</v>
      </c>
      <c r="E11" s="17">
        <v>3.8623997709049256</v>
      </c>
      <c r="F11" s="17">
        <v>0.0</v>
      </c>
      <c r="G11" s="13">
        <v>7.01</v>
      </c>
      <c r="H11" s="13">
        <f t="shared" si="1"/>
        <v>0</v>
      </c>
      <c r="I11" s="13">
        <v>5.91</v>
      </c>
      <c r="J11" s="13">
        <v>9.38</v>
      </c>
      <c r="K11" s="13">
        <v>0.0</v>
      </c>
      <c r="L11" s="13">
        <v>4.19</v>
      </c>
      <c r="M11" s="13">
        <v>0.0</v>
      </c>
      <c r="N11" s="13">
        <v>0.0</v>
      </c>
      <c r="O11" s="13">
        <v>5.58</v>
      </c>
      <c r="P11" s="13">
        <v>20.43</v>
      </c>
      <c r="Q11" s="16">
        <f t="shared" ref="Q11:Q13" si="3">AVERAGE(B11:P11)</f>
        <v>5.061923975</v>
      </c>
    </row>
    <row r="12" ht="14.25" customHeight="1">
      <c r="A12" s="6" t="s">
        <v>22</v>
      </c>
      <c r="B12" s="8">
        <v>483600.0</v>
      </c>
      <c r="C12" s="8">
        <v>105000.0</v>
      </c>
      <c r="D12" s="8">
        <v>362800.0</v>
      </c>
      <c r="E12" s="8">
        <v>215800.0</v>
      </c>
      <c r="F12" s="8">
        <v>0.0</v>
      </c>
      <c r="G12" s="21" t="s">
        <v>51</v>
      </c>
      <c r="H12" s="13" t="str">
        <f t="shared" si="1"/>
        <v>$ -</v>
      </c>
      <c r="I12" s="13" t="s">
        <v>52</v>
      </c>
      <c r="J12" s="13" t="s">
        <v>53</v>
      </c>
      <c r="K12" s="13" t="s">
        <v>54</v>
      </c>
      <c r="L12" s="13" t="s">
        <v>55</v>
      </c>
      <c r="M12" s="13" t="s">
        <v>54</v>
      </c>
      <c r="N12" s="13" t="s">
        <v>54</v>
      </c>
      <c r="O12" s="13" t="s">
        <v>57</v>
      </c>
      <c r="P12" s="13" t="s">
        <v>58</v>
      </c>
      <c r="Q12" s="18">
        <f t="shared" si="3"/>
        <v>233440</v>
      </c>
    </row>
    <row r="13" ht="14.25" customHeight="1">
      <c r="A13" s="6" t="s">
        <v>29</v>
      </c>
      <c r="B13" s="19">
        <v>0.045454545454545456</v>
      </c>
      <c r="C13" s="19">
        <v>0.041666666666666664</v>
      </c>
      <c r="D13" s="19">
        <v>0.0625</v>
      </c>
      <c r="E13" s="19">
        <v>0.034482758620689655</v>
      </c>
      <c r="F13" s="19">
        <v>0.043478260869565216</v>
      </c>
      <c r="G13" s="39">
        <v>0.0455</v>
      </c>
      <c r="H13" s="39">
        <f t="shared" si="1"/>
        <v>0.037</v>
      </c>
      <c r="I13" s="39">
        <v>0.0417</v>
      </c>
      <c r="J13" s="39">
        <v>0.0588</v>
      </c>
      <c r="K13" s="39">
        <v>0.0476</v>
      </c>
      <c r="L13" s="39">
        <v>0.0455</v>
      </c>
      <c r="M13" s="39">
        <v>0.0</v>
      </c>
      <c r="N13" s="39">
        <v>0.0</v>
      </c>
      <c r="O13" s="39">
        <v>0.037</v>
      </c>
      <c r="P13" s="39">
        <v>0.0909</v>
      </c>
      <c r="Q13" s="41">
        <f t="shared" si="3"/>
        <v>0.04210548211</v>
      </c>
    </row>
    <row r="14" ht="14.25" customHeight="1"/>
    <row r="15" ht="14.25" customHeight="1"/>
    <row r="16" ht="14.25" customHeight="1">
      <c r="A16" s="43" t="s">
        <v>76</v>
      </c>
    </row>
    <row r="17" ht="14.25" customHeight="1">
      <c r="A17" s="4" t="s">
        <v>1</v>
      </c>
      <c r="B17" s="44">
        <v>46219.0</v>
      </c>
      <c r="C17" s="44">
        <v>46220.0</v>
      </c>
      <c r="D17" s="44">
        <v>46221.0</v>
      </c>
      <c r="E17" s="44">
        <v>46222.0</v>
      </c>
      <c r="F17" s="44">
        <v>46223.0</v>
      </c>
      <c r="G17" s="44">
        <v>46224.0</v>
      </c>
      <c r="H17" s="44">
        <v>46225.0</v>
      </c>
      <c r="I17" s="44">
        <v>46226.0</v>
      </c>
      <c r="J17" s="44">
        <v>46227.0</v>
      </c>
      <c r="K17" s="44">
        <v>46228.0</v>
      </c>
      <c r="L17" s="44">
        <v>46229.0</v>
      </c>
      <c r="M17" s="44">
        <v>46230.0</v>
      </c>
      <c r="N17" s="44">
        <v>46231.0</v>
      </c>
      <c r="O17" s="44">
        <v>46232.0</v>
      </c>
      <c r="P17" s="44">
        <v>46233.0</v>
      </c>
      <c r="Q17" s="44">
        <v>46234.0</v>
      </c>
      <c r="R17" s="45" t="s">
        <v>2</v>
      </c>
      <c r="T17" s="46" t="s">
        <v>78</v>
      </c>
    </row>
    <row r="18" ht="14.25" customHeight="1">
      <c r="A18" s="6" t="s">
        <v>4</v>
      </c>
      <c r="B18" s="21">
        <v>81486.0</v>
      </c>
      <c r="C18" s="37">
        <v>82248.0</v>
      </c>
      <c r="D18" s="37">
        <v>95108.0</v>
      </c>
      <c r="E18" s="37">
        <v>84191.0</v>
      </c>
      <c r="F18" s="37">
        <v>99570.0</v>
      </c>
      <c r="G18" s="37">
        <v>87388.0</v>
      </c>
      <c r="H18" s="37">
        <v>116057.0</v>
      </c>
      <c r="I18" s="37">
        <v>80577.0</v>
      </c>
      <c r="J18" s="37">
        <v>66870.0</v>
      </c>
      <c r="K18" s="37">
        <v>85634.0</v>
      </c>
      <c r="L18" s="37">
        <v>90891.0</v>
      </c>
      <c r="M18" s="37">
        <v>110442.0</v>
      </c>
      <c r="N18" s="37">
        <v>90259.0</v>
      </c>
      <c r="O18" s="37">
        <v>65135.0</v>
      </c>
      <c r="P18" s="37">
        <v>57924.0</v>
      </c>
      <c r="Q18" s="37">
        <v>90843.0</v>
      </c>
      <c r="R18" s="50">
        <f t="shared" ref="R18:R19" si="4">SUM(B18:Q18)</f>
        <v>1384623</v>
      </c>
      <c r="T18" s="51">
        <f>SUM(Q6,R18)</f>
        <v>1629099</v>
      </c>
    </row>
    <row r="19" ht="14.25" customHeight="1">
      <c r="A19" s="6" t="s">
        <v>5</v>
      </c>
      <c r="B19" s="13">
        <v>28.0</v>
      </c>
      <c r="C19" s="13">
        <v>23.0</v>
      </c>
      <c r="D19" s="13">
        <v>33.0</v>
      </c>
      <c r="E19" s="13">
        <v>36.0</v>
      </c>
      <c r="F19" s="13">
        <v>25.0</v>
      </c>
      <c r="G19" s="13">
        <v>45.0</v>
      </c>
      <c r="H19" s="13">
        <v>44.0</v>
      </c>
      <c r="I19" s="13">
        <v>29.0</v>
      </c>
      <c r="J19" s="13">
        <v>22.0</v>
      </c>
      <c r="K19" s="13">
        <v>29.0</v>
      </c>
      <c r="L19" s="13">
        <v>41.0</v>
      </c>
      <c r="M19" s="13">
        <v>63.0</v>
      </c>
      <c r="N19" s="13">
        <v>53.0</v>
      </c>
      <c r="O19" s="13">
        <v>34.0</v>
      </c>
      <c r="P19" s="13">
        <v>22.0</v>
      </c>
      <c r="Q19" s="13">
        <v>44.0</v>
      </c>
      <c r="R19" s="52">
        <f t="shared" si="4"/>
        <v>571</v>
      </c>
    </row>
    <row r="20" ht="14.25" customHeight="1">
      <c r="A20" s="6" t="s">
        <v>6</v>
      </c>
      <c r="B20" s="53">
        <v>2910.0</v>
      </c>
      <c r="C20" s="53">
        <v>3576.0</v>
      </c>
      <c r="D20" s="53">
        <v>2882.0</v>
      </c>
      <c r="E20" s="53">
        <v>2339.0</v>
      </c>
      <c r="F20" s="53">
        <v>3983.0</v>
      </c>
      <c r="G20" s="53">
        <v>1942.0</v>
      </c>
      <c r="H20" s="53">
        <v>2638.0</v>
      </c>
      <c r="I20" s="53">
        <v>2779.0</v>
      </c>
      <c r="J20" s="53">
        <v>3040.0</v>
      </c>
      <c r="K20" s="53">
        <v>2953.0</v>
      </c>
      <c r="L20" s="53">
        <v>2217.0</v>
      </c>
      <c r="M20" s="53">
        <v>1753.0</v>
      </c>
      <c r="N20" s="53">
        <v>1703.0</v>
      </c>
      <c r="O20" s="53">
        <v>1916.0</v>
      </c>
      <c r="P20" s="53">
        <v>2633.0</v>
      </c>
      <c r="Q20" s="53">
        <v>2065.0</v>
      </c>
      <c r="R20" s="56">
        <f>AVERAGE(B20:Q20)</f>
        <v>2583.0625</v>
      </c>
    </row>
    <row r="21" ht="14.25" customHeight="1">
      <c r="A21" s="6" t="s">
        <v>7</v>
      </c>
      <c r="B21" s="53">
        <v>639400.0</v>
      </c>
      <c r="C21" s="13" t="s">
        <v>54</v>
      </c>
      <c r="D21" s="53">
        <v>349800.0</v>
      </c>
      <c r="E21" s="13" t="s">
        <v>54</v>
      </c>
      <c r="F21" s="13" t="s">
        <v>54</v>
      </c>
      <c r="G21" s="13" t="s">
        <v>54</v>
      </c>
      <c r="H21" s="53">
        <v>674400.0</v>
      </c>
      <c r="I21" s="53">
        <v>452700.0</v>
      </c>
      <c r="J21" s="13" t="s">
        <v>54</v>
      </c>
      <c r="K21" s="53">
        <v>219800.0</v>
      </c>
      <c r="L21" s="53">
        <v>200000.0</v>
      </c>
      <c r="M21" s="53">
        <v>1418600.0</v>
      </c>
      <c r="N21" s="53">
        <v>399600.0</v>
      </c>
      <c r="O21" s="53">
        <v>1367400.0</v>
      </c>
      <c r="P21" s="53">
        <v>659400.0</v>
      </c>
      <c r="Q21" s="53">
        <v>414600.0</v>
      </c>
      <c r="R21" s="50">
        <f>SUM(B21:Q21)</f>
        <v>6795700</v>
      </c>
    </row>
    <row r="22" ht="14.25" customHeight="1">
      <c r="A22" s="14" t="s">
        <v>9</v>
      </c>
      <c r="B22" s="26">
        <v>0.13</v>
      </c>
      <c r="C22" s="13" t="s">
        <v>64</v>
      </c>
      <c r="D22" s="26">
        <v>0.27</v>
      </c>
      <c r="E22" s="13" t="s">
        <v>64</v>
      </c>
      <c r="F22" s="13" t="s">
        <v>64</v>
      </c>
      <c r="G22" s="13" t="s">
        <v>64</v>
      </c>
      <c r="H22" s="26">
        <v>0.17</v>
      </c>
      <c r="I22" s="39">
        <v>0.18</v>
      </c>
      <c r="J22" s="13" t="s">
        <v>64</v>
      </c>
      <c r="K22" s="39">
        <v>0.39</v>
      </c>
      <c r="L22" s="39">
        <v>0.45</v>
      </c>
      <c r="M22" s="39">
        <v>0.08</v>
      </c>
      <c r="N22" s="39">
        <v>0.23</v>
      </c>
      <c r="O22" s="39">
        <v>0.05</v>
      </c>
      <c r="P22" s="39">
        <v>0.09</v>
      </c>
      <c r="Q22" s="39">
        <v>0.22</v>
      </c>
      <c r="R22" s="50"/>
    </row>
    <row r="23" ht="14.25" customHeight="1">
      <c r="A23" s="6" t="s">
        <v>18</v>
      </c>
      <c r="B23" s="13">
        <v>7.85</v>
      </c>
      <c r="C23" s="13">
        <v>0.0</v>
      </c>
      <c r="D23" s="13">
        <v>3.68</v>
      </c>
      <c r="E23" s="13">
        <v>0.0</v>
      </c>
      <c r="F23" s="13">
        <v>0.0</v>
      </c>
      <c r="G23" s="13">
        <v>0.0</v>
      </c>
      <c r="H23" s="13">
        <v>5.81</v>
      </c>
      <c r="I23" s="13">
        <v>5.62</v>
      </c>
      <c r="J23" s="13">
        <v>0.0</v>
      </c>
      <c r="K23" s="13">
        <v>2.57</v>
      </c>
      <c r="L23" s="13">
        <v>2.2</v>
      </c>
      <c r="M23" s="13">
        <v>12.84</v>
      </c>
      <c r="N23" s="13">
        <v>4.43</v>
      </c>
      <c r="O23" s="13">
        <v>20.99</v>
      </c>
      <c r="P23" s="13">
        <v>11.38</v>
      </c>
      <c r="Q23" s="13">
        <v>4.56</v>
      </c>
      <c r="R23" s="59">
        <f>AVERAGE(B23:Q23)</f>
        <v>5.120625</v>
      </c>
    </row>
    <row r="24" ht="14.25" customHeight="1">
      <c r="A24" s="6" t="s">
        <v>22</v>
      </c>
      <c r="B24" s="21">
        <v>639400.0</v>
      </c>
      <c r="C24" s="37" t="s">
        <v>54</v>
      </c>
      <c r="D24" s="37">
        <v>349800.0</v>
      </c>
      <c r="E24" s="37" t="s">
        <v>54</v>
      </c>
      <c r="F24" s="13" t="s">
        <v>54</v>
      </c>
      <c r="G24" s="13" t="s">
        <v>54</v>
      </c>
      <c r="H24" s="53">
        <v>674400.0</v>
      </c>
      <c r="I24" s="53">
        <v>452700.0</v>
      </c>
      <c r="J24" s="13" t="s">
        <v>54</v>
      </c>
      <c r="K24" s="53">
        <v>219800.0</v>
      </c>
      <c r="L24" s="53">
        <v>200000.0</v>
      </c>
      <c r="M24" s="53">
        <v>1418600.0</v>
      </c>
      <c r="N24" s="53">
        <v>399600.0</v>
      </c>
      <c r="O24" s="53">
        <v>1367400.0</v>
      </c>
      <c r="P24" s="53">
        <v>659400.0</v>
      </c>
      <c r="Q24" s="53">
        <v>414600.0</v>
      </c>
      <c r="R24" s="50">
        <f>((SUM(B24:Q24))/16)</f>
        <v>424731.25</v>
      </c>
      <c r="S24" s="62"/>
    </row>
    <row r="25" ht="14.25" customHeight="1">
      <c r="A25" s="6" t="s">
        <v>29</v>
      </c>
      <c r="B25" s="39">
        <v>0.0357</v>
      </c>
      <c r="C25" s="39">
        <v>0.0435</v>
      </c>
      <c r="D25" s="39">
        <v>0.0303</v>
      </c>
      <c r="E25" s="39">
        <v>0.0278</v>
      </c>
      <c r="F25" s="39">
        <v>0.04</v>
      </c>
      <c r="G25" s="39">
        <v>0.0222</v>
      </c>
      <c r="H25" s="39">
        <v>0.0227</v>
      </c>
      <c r="I25" s="39">
        <v>0.0345</v>
      </c>
      <c r="J25" s="39">
        <v>0.0455</v>
      </c>
      <c r="K25" s="39">
        <v>0.0345</v>
      </c>
      <c r="L25" s="39">
        <v>0.0244</v>
      </c>
      <c r="M25" s="39">
        <v>0.0159</v>
      </c>
      <c r="N25" s="39">
        <v>0.0189</v>
      </c>
      <c r="O25" s="39">
        <v>0.0294</v>
      </c>
      <c r="P25" s="39">
        <v>0.0455</v>
      </c>
      <c r="Q25" s="39">
        <v>0.0227</v>
      </c>
      <c r="R25" s="65">
        <f>AVERAGE(B25:Q25)</f>
        <v>0.03084375</v>
      </c>
    </row>
    <row r="26" ht="14.25" customHeight="1"/>
    <row r="27" ht="14.25" customHeight="1"/>
    <row r="28" ht="14.25" customHeight="1">
      <c r="A28" s="66" t="s">
        <v>89</v>
      </c>
      <c r="B28" s="67"/>
    </row>
    <row r="29" ht="14.25" customHeight="1">
      <c r="A29" s="66" t="s">
        <v>90</v>
      </c>
      <c r="B29" s="66" t="s">
        <v>92</v>
      </c>
    </row>
    <row r="30" ht="14.25" customHeight="1">
      <c r="A30" s="68" t="s">
        <v>93</v>
      </c>
      <c r="B30" s="70">
        <v>358309.0</v>
      </c>
    </row>
    <row r="31" ht="14.25" customHeight="1">
      <c r="A31" s="68" t="s">
        <v>96</v>
      </c>
      <c r="B31" s="70">
        <v>358309.0</v>
      </c>
    </row>
    <row r="32" ht="14.25" customHeight="1">
      <c r="A32" s="68" t="s">
        <v>97</v>
      </c>
      <c r="B32" s="70">
        <v>358309.0</v>
      </c>
    </row>
    <row r="33" ht="14.25" customHeight="1">
      <c r="A33" s="68" t="s">
        <v>98</v>
      </c>
      <c r="B33" s="70">
        <v>358309.0</v>
      </c>
    </row>
    <row r="34" ht="14.25" customHeight="1">
      <c r="A34" s="67"/>
      <c r="B34" s="73"/>
    </row>
    <row r="35" ht="14.25" customHeight="1">
      <c r="A35" s="67"/>
      <c r="B35" s="73"/>
    </row>
    <row r="36" ht="14.25" customHeight="1">
      <c r="A36" s="67"/>
      <c r="B36" s="73"/>
    </row>
    <row r="37" ht="14.25" customHeight="1">
      <c r="A37" s="67"/>
      <c r="B37" s="73"/>
    </row>
    <row r="38" ht="14.25" customHeight="1">
      <c r="A38" s="67"/>
      <c r="B38" s="73"/>
    </row>
    <row r="39" ht="14.25" customHeight="1">
      <c r="A39" s="74" t="s">
        <v>100</v>
      </c>
      <c r="B39" s="75">
        <f>SUM(B30:B38)</f>
        <v>1433236</v>
      </c>
    </row>
    <row r="40" ht="14.25" customHeight="1">
      <c r="A40" s="76"/>
      <c r="B40" s="76"/>
    </row>
    <row r="41" ht="14.25" customHeight="1"/>
    <row r="42" ht="14.25" customHeight="1">
      <c r="A42" s="20" t="s">
        <v>102</v>
      </c>
      <c r="B42" s="22"/>
      <c r="C42" s="22"/>
      <c r="D42" s="22"/>
      <c r="E42" s="22"/>
      <c r="F42" s="22"/>
      <c r="G42" s="22"/>
      <c r="H42" s="22"/>
    </row>
    <row r="43" ht="14.25" customHeight="1">
      <c r="A43" s="69" t="s">
        <v>36</v>
      </c>
      <c r="B43" s="69" t="s">
        <v>39</v>
      </c>
      <c r="C43" s="69" t="s">
        <v>42</v>
      </c>
      <c r="D43" s="69" t="s">
        <v>44</v>
      </c>
      <c r="E43" s="69" t="s">
        <v>45</v>
      </c>
      <c r="F43" s="69" t="s">
        <v>46</v>
      </c>
      <c r="G43" s="69" t="s">
        <v>47</v>
      </c>
      <c r="H43" s="69" t="s">
        <v>111</v>
      </c>
    </row>
    <row r="44" ht="14.25" customHeight="1">
      <c r="A44" s="22" t="s">
        <v>112</v>
      </c>
      <c r="B44" s="22" t="s">
        <v>112</v>
      </c>
      <c r="C44" s="22" t="s">
        <v>50</v>
      </c>
      <c r="D44" s="22">
        <v>1.776</v>
      </c>
      <c r="E44" s="22">
        <v>8.88</v>
      </c>
      <c r="F44" s="22">
        <v>9006.0</v>
      </c>
      <c r="G44" s="22">
        <v>7285.0</v>
      </c>
      <c r="H44" s="22">
        <v>6.0</v>
      </c>
    </row>
    <row r="45" ht="14.25" customHeight="1">
      <c r="A45" s="22" t="s">
        <v>112</v>
      </c>
      <c r="B45" s="22" t="s">
        <v>112</v>
      </c>
      <c r="C45" s="22" t="s">
        <v>56</v>
      </c>
      <c r="D45" s="22">
        <v>0.326</v>
      </c>
      <c r="E45" s="22">
        <v>1.63</v>
      </c>
      <c r="F45" s="22">
        <v>2676.0</v>
      </c>
      <c r="G45" s="22">
        <v>2655.0</v>
      </c>
      <c r="H45" s="22">
        <v>5.0</v>
      </c>
    </row>
    <row r="46" ht="14.25" customHeight="1">
      <c r="A46" s="22" t="s">
        <v>112</v>
      </c>
      <c r="B46" s="22" t="s">
        <v>112</v>
      </c>
      <c r="C46" s="22" t="s">
        <v>59</v>
      </c>
      <c r="D46" s="22">
        <v>0.3625</v>
      </c>
      <c r="E46" s="22">
        <v>1.45</v>
      </c>
      <c r="F46" s="22">
        <v>2528.0</v>
      </c>
      <c r="G46" s="22">
        <v>2508.0</v>
      </c>
      <c r="H46" s="22">
        <v>4.0</v>
      </c>
    </row>
    <row r="47" ht="14.25" customHeight="1">
      <c r="A47" s="22" t="s">
        <v>112</v>
      </c>
      <c r="B47" s="22" t="s">
        <v>112</v>
      </c>
      <c r="C47" s="22" t="s">
        <v>61</v>
      </c>
      <c r="D47" s="22">
        <v>0.45666667</v>
      </c>
      <c r="E47" s="22">
        <v>1.37</v>
      </c>
      <c r="F47" s="22">
        <v>1686.0</v>
      </c>
      <c r="G47" s="22">
        <v>1659.0</v>
      </c>
      <c r="H47" s="22">
        <v>3.0</v>
      </c>
    </row>
    <row r="48" ht="14.25" customHeight="1">
      <c r="A48" s="22" t="s">
        <v>112</v>
      </c>
      <c r="B48" s="22" t="s">
        <v>112</v>
      </c>
      <c r="C48" s="22" t="s">
        <v>63</v>
      </c>
      <c r="D48" s="22">
        <v>0.3625</v>
      </c>
      <c r="E48" s="22">
        <v>1.45</v>
      </c>
      <c r="F48" s="22">
        <v>2325.0</v>
      </c>
      <c r="G48" s="22">
        <v>2243.0</v>
      </c>
      <c r="H48" s="22">
        <v>4.0</v>
      </c>
    </row>
    <row r="49" ht="14.25" customHeight="1">
      <c r="A49" s="22"/>
      <c r="B49" s="22"/>
      <c r="C49" s="22"/>
      <c r="D49" s="85" t="s">
        <v>65</v>
      </c>
      <c r="E49" s="85">
        <f>SUM(E44:E48)</f>
        <v>14.78</v>
      </c>
      <c r="F49" s="22"/>
      <c r="G49" s="22"/>
      <c r="H49" s="85">
        <f>SUM(H44:H48)</f>
        <v>22</v>
      </c>
    </row>
    <row r="50" ht="14.25" customHeight="1">
      <c r="A50" s="22"/>
      <c r="B50" s="22"/>
      <c r="C50" s="22"/>
      <c r="D50" s="22"/>
      <c r="E50" s="22"/>
      <c r="F50" s="22"/>
      <c r="G50" s="22"/>
      <c r="H50" s="22"/>
    </row>
    <row r="51" ht="14.25" customHeight="1">
      <c r="A51" s="34" t="s">
        <v>66</v>
      </c>
      <c r="B51" s="22"/>
      <c r="C51" s="22"/>
      <c r="D51" s="22"/>
      <c r="E51" s="22"/>
      <c r="F51" s="22"/>
      <c r="G51" s="22"/>
      <c r="H51" s="22"/>
    </row>
    <row r="52" ht="14.25" customHeight="1">
      <c r="A52" s="69" t="s">
        <v>67</v>
      </c>
      <c r="B52" s="69" t="s">
        <v>68</v>
      </c>
      <c r="C52" s="22"/>
      <c r="D52" s="22"/>
      <c r="E52" s="22"/>
      <c r="F52" s="22"/>
      <c r="G52" s="22"/>
      <c r="H52" s="22"/>
    </row>
    <row r="53" ht="14.25" customHeight="1">
      <c r="A53" s="22" t="s">
        <v>70</v>
      </c>
      <c r="B53" s="22">
        <v>9.0</v>
      </c>
      <c r="C53" s="22"/>
      <c r="D53" s="22"/>
      <c r="E53" s="22"/>
      <c r="F53" s="22"/>
      <c r="G53" s="22"/>
      <c r="H53" s="22"/>
    </row>
    <row r="54" ht="14.25" customHeight="1">
      <c r="A54" s="22" t="s">
        <v>123</v>
      </c>
      <c r="B54" s="22">
        <v>7.0</v>
      </c>
      <c r="C54" s="22"/>
      <c r="D54" s="22"/>
      <c r="E54" s="22"/>
      <c r="F54" s="22"/>
      <c r="G54" s="22"/>
      <c r="H54" s="22"/>
    </row>
    <row r="55" ht="14.25" customHeight="1">
      <c r="A55" s="22" t="s">
        <v>121</v>
      </c>
      <c r="B55" s="22">
        <v>6.0</v>
      </c>
      <c r="C55" s="22"/>
      <c r="D55" s="22"/>
      <c r="E55" s="22"/>
      <c r="F55" s="22"/>
      <c r="G55" s="22"/>
      <c r="H55" s="22"/>
    </row>
    <row r="56" ht="14.25" customHeight="1">
      <c r="A56" s="22" t="s">
        <v>120</v>
      </c>
      <c r="B56" s="22">
        <v>6.0</v>
      </c>
      <c r="C56" s="22"/>
      <c r="D56" s="22"/>
      <c r="E56" s="22"/>
      <c r="F56" s="22"/>
      <c r="G56" s="22"/>
      <c r="H56" s="22"/>
    </row>
    <row r="57" ht="14.25" customHeight="1">
      <c r="A57" s="22" t="s">
        <v>122</v>
      </c>
      <c r="B57" s="22">
        <v>5.0</v>
      </c>
      <c r="C57" s="22"/>
      <c r="D57" s="22"/>
      <c r="E57" s="22"/>
      <c r="F57" s="22"/>
      <c r="G57" s="22"/>
      <c r="H57" s="22"/>
    </row>
    <row r="58" ht="14.25" customHeight="1">
      <c r="A58" s="22"/>
      <c r="B58" s="22">
        <f>SUM(B53:B57)</f>
        <v>33</v>
      </c>
      <c r="C58" s="22"/>
      <c r="D58" s="22"/>
      <c r="E58" s="22"/>
      <c r="F58" s="22"/>
      <c r="G58" s="22"/>
      <c r="H58" s="22"/>
    </row>
    <row r="59" ht="14.25" customHeight="1">
      <c r="A59" s="22"/>
      <c r="B59" s="22"/>
      <c r="C59" s="22"/>
      <c r="D59" s="22"/>
      <c r="E59" s="22"/>
      <c r="F59" s="22"/>
      <c r="G59" s="22"/>
      <c r="H59" s="22"/>
    </row>
    <row r="60" ht="14.25" customHeight="1">
      <c r="A60" s="34" t="s">
        <v>72</v>
      </c>
      <c r="B60" s="22"/>
      <c r="C60" s="22"/>
      <c r="D60" s="22"/>
      <c r="E60" s="22"/>
      <c r="F60" s="22"/>
      <c r="G60" s="22"/>
      <c r="H60" s="22"/>
    </row>
    <row r="61" ht="14.25" customHeight="1">
      <c r="A61" s="85" t="s">
        <v>67</v>
      </c>
      <c r="B61" s="85" t="s">
        <v>73</v>
      </c>
      <c r="C61" s="85" t="s">
        <v>74</v>
      </c>
      <c r="D61" s="85" t="s">
        <v>75</v>
      </c>
      <c r="E61" s="85" t="s">
        <v>68</v>
      </c>
      <c r="F61" s="22"/>
      <c r="G61" s="22"/>
      <c r="H61" s="22"/>
    </row>
    <row r="62" ht="14.25" customHeight="1">
      <c r="A62" s="22" t="s">
        <v>130</v>
      </c>
      <c r="B62" s="22">
        <v>23.0</v>
      </c>
      <c r="C62" s="22">
        <v>4.0</v>
      </c>
      <c r="D62" s="22">
        <v>0.0</v>
      </c>
      <c r="E62" s="22">
        <v>27.0</v>
      </c>
      <c r="F62" s="22"/>
      <c r="G62" s="22"/>
      <c r="H62" s="22"/>
    </row>
    <row r="63" ht="14.25" customHeight="1">
      <c r="A63" s="22" t="s">
        <v>70</v>
      </c>
      <c r="B63" s="22">
        <v>14.0</v>
      </c>
      <c r="C63" s="22">
        <v>6.0</v>
      </c>
      <c r="D63" s="22">
        <v>0.0</v>
      </c>
      <c r="E63" s="22">
        <v>20.0</v>
      </c>
      <c r="F63" s="22"/>
      <c r="G63" s="22"/>
      <c r="H63" s="22"/>
    </row>
    <row r="64" ht="14.25" customHeight="1">
      <c r="A64" s="22" t="s">
        <v>120</v>
      </c>
      <c r="B64" s="22">
        <v>2.0</v>
      </c>
      <c r="C64" s="22">
        <v>1.0</v>
      </c>
      <c r="D64" s="22">
        <v>7.0</v>
      </c>
      <c r="E64" s="22">
        <v>10.0</v>
      </c>
      <c r="F64" s="22"/>
      <c r="G64" s="22"/>
      <c r="H64" s="22"/>
    </row>
    <row r="65" ht="14.25" customHeight="1">
      <c r="A65" s="22" t="s">
        <v>123</v>
      </c>
      <c r="B65" s="22">
        <v>9.0</v>
      </c>
      <c r="C65" s="22">
        <v>0.0</v>
      </c>
      <c r="D65" s="22">
        <v>0.0</v>
      </c>
      <c r="E65" s="22">
        <v>9.0</v>
      </c>
      <c r="F65" s="22"/>
      <c r="G65" s="22"/>
      <c r="H65" s="22"/>
    </row>
    <row r="66" ht="14.25" customHeight="1">
      <c r="A66" s="22"/>
      <c r="B66" s="22"/>
      <c r="C66" s="22"/>
      <c r="D66" s="22"/>
      <c r="E66" s="22"/>
      <c r="F66" s="22"/>
      <c r="G66" s="22"/>
      <c r="H66" s="22"/>
    </row>
    <row r="67" ht="14.25" customHeight="1">
      <c r="A67" s="34" t="s">
        <v>77</v>
      </c>
      <c r="B67" s="22"/>
      <c r="C67" s="22"/>
      <c r="D67" s="22"/>
      <c r="E67" s="22"/>
      <c r="F67" s="22"/>
      <c r="G67" s="22"/>
      <c r="H67" s="22"/>
    </row>
    <row r="68" ht="14.25" customHeight="1">
      <c r="A68" s="48" t="s">
        <v>79</v>
      </c>
      <c r="B68" s="48" t="s">
        <v>5</v>
      </c>
      <c r="C68" s="22"/>
      <c r="D68" s="22"/>
      <c r="E68" s="22"/>
      <c r="F68" s="22"/>
      <c r="G68" s="22"/>
      <c r="H68" s="22"/>
    </row>
    <row r="69" ht="14.25" customHeight="1">
      <c r="A69" s="49" t="s">
        <v>126</v>
      </c>
      <c r="B69" s="49">
        <v>8.0</v>
      </c>
      <c r="C69" s="22"/>
      <c r="D69" s="22"/>
      <c r="E69" s="22"/>
      <c r="F69" s="22"/>
      <c r="G69" s="22"/>
      <c r="H69" s="22"/>
    </row>
    <row r="70" ht="14.25" customHeight="1">
      <c r="A70" s="49" t="s">
        <v>88</v>
      </c>
      <c r="B70" s="49">
        <v>5.0</v>
      </c>
      <c r="C70" s="22"/>
      <c r="D70" s="22"/>
      <c r="E70" s="22"/>
      <c r="F70" s="22"/>
      <c r="G70" s="22"/>
      <c r="H70" s="22"/>
    </row>
    <row r="71" ht="14.25" customHeight="1">
      <c r="A71" s="49" t="s">
        <v>133</v>
      </c>
      <c r="B71" s="49">
        <v>5.0</v>
      </c>
      <c r="C71" s="22"/>
      <c r="D71" s="22"/>
      <c r="E71" s="22"/>
      <c r="F71" s="22"/>
      <c r="G71" s="22"/>
      <c r="H71" s="22"/>
    </row>
    <row r="72" ht="14.25" customHeight="1">
      <c r="A72" s="49" t="s">
        <v>83</v>
      </c>
      <c r="B72" s="49">
        <v>4.0</v>
      </c>
      <c r="C72" s="22"/>
      <c r="D72" s="22"/>
      <c r="E72" s="22"/>
      <c r="F72" s="22"/>
      <c r="G72" s="22"/>
      <c r="H72" s="22"/>
    </row>
    <row r="73" ht="14.25" customHeight="1">
      <c r="A73" s="49" t="s">
        <v>86</v>
      </c>
      <c r="B73" s="49">
        <v>3.0</v>
      </c>
      <c r="C73" s="22"/>
      <c r="D73" s="22"/>
      <c r="E73" s="22"/>
      <c r="F73" s="22"/>
      <c r="G73" s="22"/>
      <c r="H73" s="22"/>
    </row>
    <row r="74" ht="14.25" customHeight="1">
      <c r="A74" s="49" t="s">
        <v>84</v>
      </c>
      <c r="B74" s="49">
        <v>2.0</v>
      </c>
      <c r="C74" s="22"/>
      <c r="D74" s="22"/>
      <c r="E74" s="22"/>
      <c r="F74" s="22"/>
      <c r="G74" s="22"/>
      <c r="H74" s="22"/>
    </row>
    <row r="75" ht="14.25" customHeight="1">
      <c r="A75" s="49"/>
      <c r="B75" s="49"/>
      <c r="C75" s="22"/>
      <c r="D75" s="22"/>
      <c r="E75" s="22"/>
      <c r="F75" s="22"/>
      <c r="G75" s="22"/>
      <c r="H75" s="22"/>
    </row>
    <row r="76" ht="14.25" customHeight="1">
      <c r="A76" s="97" t="s">
        <v>127</v>
      </c>
      <c r="B76" s="98">
        <v>483600.0</v>
      </c>
      <c r="C76" s="22"/>
      <c r="D76" s="22"/>
      <c r="E76" s="22"/>
      <c r="F76" s="22"/>
      <c r="G76" s="22"/>
      <c r="H76" s="22"/>
    </row>
    <row r="77" ht="14.25" customHeight="1">
      <c r="A77" s="97" t="s">
        <v>129</v>
      </c>
      <c r="B77" s="98">
        <v>0.0</v>
      </c>
      <c r="C77" s="22"/>
      <c r="D77" s="22"/>
      <c r="E77" s="22"/>
      <c r="F77" s="22"/>
      <c r="G77" s="22"/>
      <c r="H77" s="22"/>
    </row>
    <row r="78" ht="14.25" customHeight="1">
      <c r="A78" s="97" t="s">
        <v>131</v>
      </c>
      <c r="B78" s="98">
        <v>0.0</v>
      </c>
      <c r="C78" s="22"/>
      <c r="D78" s="22"/>
      <c r="E78" s="22"/>
      <c r="F78" s="22"/>
      <c r="G78" s="22"/>
      <c r="H78" s="22"/>
    </row>
    <row r="79" ht="14.25" customHeight="1">
      <c r="A79" s="97" t="s">
        <v>132</v>
      </c>
      <c r="B79" s="98">
        <v>0.0</v>
      </c>
      <c r="C79" s="22"/>
      <c r="D79" s="22"/>
      <c r="E79" s="22"/>
      <c r="F79" s="22"/>
      <c r="G79" s="22"/>
      <c r="H79" s="22"/>
    </row>
    <row r="80" ht="14.25" customHeight="1">
      <c r="A80" s="22"/>
      <c r="B80" s="22"/>
      <c r="C80" s="22"/>
      <c r="D80" s="22"/>
      <c r="E80" s="22"/>
      <c r="F80" s="22"/>
      <c r="G80" s="22"/>
      <c r="H80" s="22"/>
    </row>
    <row r="81" ht="14.25" customHeight="1">
      <c r="A81" s="54" t="s">
        <v>7</v>
      </c>
      <c r="B81" s="55">
        <f>SUM(B76:B79)</f>
        <v>483600</v>
      </c>
      <c r="C81" s="22"/>
      <c r="D81" s="22"/>
      <c r="E81" s="22"/>
      <c r="F81" s="22"/>
      <c r="G81" s="22"/>
      <c r="H81" s="22"/>
    </row>
    <row r="82" ht="14.25" customHeight="1">
      <c r="A82" s="99" t="s">
        <v>0</v>
      </c>
      <c r="B82" s="100">
        <v>3600.0</v>
      </c>
      <c r="C82" s="60">
        <v>1.0</v>
      </c>
      <c r="D82" s="22"/>
      <c r="E82" s="22"/>
      <c r="F82" s="22"/>
      <c r="G82" s="22"/>
      <c r="H82" s="22"/>
    </row>
    <row r="83" ht="14.25" customHeight="1">
      <c r="A83" s="22"/>
      <c r="B83" s="22"/>
      <c r="C83" s="22"/>
      <c r="D83" s="22"/>
      <c r="E83" s="22"/>
      <c r="F83" s="22"/>
      <c r="G83" s="22"/>
      <c r="H83" s="22"/>
    </row>
    <row r="84" ht="14.25" customHeight="1">
      <c r="A84" s="4" t="s">
        <v>1</v>
      </c>
      <c r="B84" s="9">
        <v>46204.0</v>
      </c>
      <c r="C84" s="22"/>
      <c r="D84" s="22"/>
      <c r="E84" s="22"/>
      <c r="F84" s="22"/>
      <c r="G84" s="22"/>
      <c r="H84" s="22"/>
    </row>
    <row r="85" ht="14.25" customHeight="1">
      <c r="A85" s="14" t="s">
        <v>3</v>
      </c>
      <c r="B85" s="101">
        <f>E49</f>
        <v>14.78</v>
      </c>
      <c r="C85" s="22"/>
      <c r="D85" s="22"/>
      <c r="E85" s="22"/>
      <c r="F85" s="22"/>
      <c r="G85" s="22"/>
      <c r="H85" s="22"/>
    </row>
    <row r="86" ht="14.25" customHeight="1">
      <c r="A86" s="14" t="s">
        <v>4</v>
      </c>
      <c r="B86" s="102">
        <f>B85*B82</f>
        <v>53208</v>
      </c>
      <c r="C86" s="22"/>
      <c r="D86" s="22"/>
      <c r="E86" s="22"/>
      <c r="F86" s="22"/>
      <c r="G86" s="22"/>
      <c r="H86" s="22"/>
    </row>
    <row r="87" ht="14.25" customHeight="1">
      <c r="A87" s="14" t="s">
        <v>5</v>
      </c>
      <c r="B87" s="103">
        <f>H49</f>
        <v>22</v>
      </c>
      <c r="C87" s="22"/>
      <c r="D87" s="22"/>
      <c r="E87" s="22"/>
      <c r="F87" s="22"/>
      <c r="G87" s="22"/>
      <c r="H87" s="22"/>
    </row>
    <row r="88" ht="14.25" customHeight="1">
      <c r="A88" s="14" t="s">
        <v>6</v>
      </c>
      <c r="B88" s="102">
        <f>B86/B87</f>
        <v>2418.545455</v>
      </c>
      <c r="C88" s="22"/>
      <c r="D88" s="22"/>
      <c r="E88" s="22"/>
      <c r="F88" s="22"/>
      <c r="G88" s="22"/>
      <c r="H88" s="22"/>
    </row>
    <row r="89" ht="14.25" customHeight="1">
      <c r="A89" s="14" t="s">
        <v>7</v>
      </c>
      <c r="B89" s="104">
        <f>B81</f>
        <v>483600</v>
      </c>
      <c r="C89" s="22"/>
      <c r="D89" s="22"/>
      <c r="E89" s="22"/>
      <c r="F89" s="22"/>
      <c r="G89" s="22"/>
      <c r="H89" s="22"/>
    </row>
    <row r="90" ht="14.25" customHeight="1">
      <c r="A90" s="14" t="s">
        <v>9</v>
      </c>
      <c r="B90" s="25">
        <f>(B86*C82)/B89</f>
        <v>0.1100248139</v>
      </c>
      <c r="C90" s="22"/>
      <c r="D90" s="22"/>
      <c r="E90" s="22"/>
      <c r="F90" s="22"/>
      <c r="G90" s="22"/>
      <c r="H90" s="22"/>
    </row>
    <row r="91" ht="14.25" customHeight="1">
      <c r="A91" s="14" t="s">
        <v>18</v>
      </c>
      <c r="B91" s="105">
        <f>B89/B86</f>
        <v>9.088858818</v>
      </c>
      <c r="C91" s="22"/>
      <c r="D91" s="22"/>
      <c r="E91" s="22"/>
      <c r="F91" s="22"/>
      <c r="G91" s="22"/>
      <c r="H91" s="22"/>
    </row>
    <row r="92" ht="14.25" customHeight="1">
      <c r="A92" s="14" t="s">
        <v>22</v>
      </c>
      <c r="B92" s="104">
        <f>AVERAGE(B89)</f>
        <v>483600</v>
      </c>
      <c r="C92" s="22"/>
      <c r="D92" s="22"/>
      <c r="E92" s="22"/>
      <c r="F92" s="22"/>
      <c r="G92" s="22"/>
      <c r="H92" s="22"/>
    </row>
    <row r="93" ht="14.25" customHeight="1">
      <c r="A93" s="14" t="s">
        <v>29</v>
      </c>
      <c r="B93" s="106">
        <f>(B88/B86)*C82</f>
        <v>0.04545454545</v>
      </c>
      <c r="C93" s="22"/>
      <c r="D93" s="22"/>
      <c r="E93" s="22"/>
      <c r="F93" s="22"/>
      <c r="G93" s="22"/>
      <c r="H93" s="22"/>
    </row>
    <row r="94" ht="14.25" customHeight="1"/>
    <row r="95" ht="14.25" customHeight="1"/>
    <row r="96" ht="14.25" customHeight="1">
      <c r="A96" s="20" t="s">
        <v>151</v>
      </c>
      <c r="B96" s="22"/>
      <c r="C96" s="22"/>
      <c r="D96" s="22"/>
      <c r="E96" s="22"/>
      <c r="F96" s="22"/>
      <c r="G96" s="22"/>
      <c r="H96" s="22"/>
    </row>
    <row r="97" ht="14.25" customHeight="1">
      <c r="A97" s="69" t="s">
        <v>36</v>
      </c>
      <c r="B97" s="69" t="s">
        <v>39</v>
      </c>
      <c r="C97" s="69" t="s">
        <v>42</v>
      </c>
      <c r="D97" s="69" t="s">
        <v>44</v>
      </c>
      <c r="E97" s="69" t="s">
        <v>45</v>
      </c>
      <c r="F97" s="69" t="s">
        <v>46</v>
      </c>
      <c r="G97" s="69" t="s">
        <v>47</v>
      </c>
      <c r="H97" s="69" t="s">
        <v>111</v>
      </c>
    </row>
    <row r="98" ht="14.25" customHeight="1">
      <c r="A98" s="22" t="s">
        <v>152</v>
      </c>
      <c r="B98" s="22" t="s">
        <v>152</v>
      </c>
      <c r="C98" s="22" t="s">
        <v>50</v>
      </c>
      <c r="D98" s="22">
        <v>0.65</v>
      </c>
      <c r="E98" s="22">
        <v>7.8</v>
      </c>
      <c r="F98" s="22">
        <v>7367.0</v>
      </c>
      <c r="G98" s="22">
        <v>6315.0</v>
      </c>
      <c r="H98" s="22">
        <v>13.0</v>
      </c>
    </row>
    <row r="99" ht="14.25" customHeight="1">
      <c r="A99" s="22" t="s">
        <v>152</v>
      </c>
      <c r="B99" s="22" t="s">
        <v>152</v>
      </c>
      <c r="C99" s="22" t="s">
        <v>56</v>
      </c>
      <c r="D99" s="22">
        <v>0.44</v>
      </c>
      <c r="E99" s="22">
        <v>1.32</v>
      </c>
      <c r="F99" s="22">
        <v>2504.0</v>
      </c>
      <c r="G99" s="22">
        <v>2464.0</v>
      </c>
      <c r="H99" s="22">
        <v>3.0</v>
      </c>
    </row>
    <row r="100" ht="14.25" customHeight="1">
      <c r="A100" s="22" t="s">
        <v>152</v>
      </c>
      <c r="B100" s="22" t="s">
        <v>152</v>
      </c>
      <c r="C100" s="22" t="s">
        <v>59</v>
      </c>
      <c r="D100" s="22">
        <v>0.46333333</v>
      </c>
      <c r="E100" s="22">
        <v>1.39</v>
      </c>
      <c r="F100" s="22">
        <v>2355.0</v>
      </c>
      <c r="G100" s="22">
        <v>2344.0</v>
      </c>
      <c r="H100" s="22">
        <v>3.0</v>
      </c>
    </row>
    <row r="101" ht="14.25" customHeight="1">
      <c r="A101" s="22" t="s">
        <v>152</v>
      </c>
      <c r="B101" s="22" t="s">
        <v>152</v>
      </c>
      <c r="C101" s="22" t="s">
        <v>61</v>
      </c>
      <c r="D101" s="22">
        <v>0.695</v>
      </c>
      <c r="E101" s="22">
        <v>1.39</v>
      </c>
      <c r="F101" s="22">
        <v>1913.0</v>
      </c>
      <c r="G101" s="22">
        <v>1865.0</v>
      </c>
      <c r="H101" s="22">
        <v>2.0</v>
      </c>
    </row>
    <row r="102" ht="14.25" customHeight="1">
      <c r="A102" s="22" t="s">
        <v>152</v>
      </c>
      <c r="B102" s="22" t="s">
        <v>152</v>
      </c>
      <c r="C102" s="22" t="s">
        <v>63</v>
      </c>
      <c r="D102" s="22">
        <v>0.48666667</v>
      </c>
      <c r="E102" s="22">
        <v>1.46</v>
      </c>
      <c r="F102" s="22">
        <v>2086.0</v>
      </c>
      <c r="G102" s="22">
        <v>1973.0</v>
      </c>
      <c r="H102" s="22">
        <v>3.0</v>
      </c>
    </row>
    <row r="103" ht="14.25" customHeight="1">
      <c r="A103" s="22"/>
      <c r="B103" s="22"/>
      <c r="C103" s="22"/>
      <c r="D103" s="108" t="s">
        <v>65</v>
      </c>
      <c r="E103" s="108">
        <f>SUM(E98:E102)</f>
        <v>13.36</v>
      </c>
      <c r="F103" s="22"/>
      <c r="G103" s="22"/>
      <c r="H103" s="85">
        <f>SUM(H98:H102)</f>
        <v>24</v>
      </c>
    </row>
    <row r="104" ht="14.25" customHeight="1">
      <c r="A104" s="22"/>
      <c r="B104" s="22"/>
      <c r="C104" s="22"/>
      <c r="D104" s="22"/>
      <c r="E104" s="22"/>
      <c r="F104" s="22"/>
      <c r="G104" s="22"/>
      <c r="H104" s="22"/>
    </row>
    <row r="105" ht="14.25" customHeight="1">
      <c r="A105" s="34" t="s">
        <v>66</v>
      </c>
      <c r="B105" s="22"/>
      <c r="C105" s="22"/>
      <c r="D105" s="22"/>
      <c r="E105" s="22"/>
      <c r="F105" s="22"/>
      <c r="G105" s="22"/>
      <c r="H105" s="22"/>
    </row>
    <row r="106" ht="14.25" customHeight="1">
      <c r="A106" s="69" t="s">
        <v>67</v>
      </c>
      <c r="B106" s="69" t="s">
        <v>68</v>
      </c>
      <c r="C106" s="22"/>
      <c r="D106" s="22"/>
      <c r="E106" s="22"/>
      <c r="F106" s="22"/>
      <c r="G106" s="22"/>
      <c r="H106" s="22"/>
    </row>
    <row r="107" ht="14.25" customHeight="1">
      <c r="A107" s="22" t="s">
        <v>123</v>
      </c>
      <c r="B107" s="22">
        <v>7.0</v>
      </c>
      <c r="C107" s="22"/>
      <c r="D107" s="22"/>
      <c r="E107" s="22"/>
      <c r="F107" s="22"/>
      <c r="G107" s="22"/>
      <c r="H107" s="22"/>
    </row>
    <row r="108" ht="14.25" customHeight="1">
      <c r="A108" s="22" t="s">
        <v>121</v>
      </c>
      <c r="B108" s="22">
        <v>7.0</v>
      </c>
      <c r="C108" s="22"/>
      <c r="D108" s="22"/>
      <c r="E108" s="22"/>
      <c r="F108" s="22"/>
      <c r="G108" s="22"/>
      <c r="H108" s="22"/>
    </row>
    <row r="109" ht="14.25" customHeight="1">
      <c r="A109" s="22" t="s">
        <v>122</v>
      </c>
      <c r="B109" s="22">
        <v>7.0</v>
      </c>
      <c r="C109" s="22"/>
      <c r="D109" s="22"/>
      <c r="E109" s="22"/>
      <c r="F109" s="22"/>
      <c r="G109" s="22"/>
      <c r="H109" s="22"/>
    </row>
    <row r="110" ht="14.25" customHeight="1">
      <c r="A110" s="22" t="s">
        <v>120</v>
      </c>
      <c r="B110" s="22">
        <v>4.0</v>
      </c>
      <c r="C110" s="22"/>
      <c r="D110" s="22"/>
      <c r="E110" s="22"/>
      <c r="F110" s="22"/>
      <c r="G110" s="22"/>
      <c r="H110" s="22"/>
    </row>
    <row r="111" ht="14.25" customHeight="1">
      <c r="A111" s="22" t="s">
        <v>70</v>
      </c>
      <c r="B111" s="22">
        <v>2.0</v>
      </c>
      <c r="C111" s="22"/>
      <c r="D111" s="22"/>
      <c r="E111" s="22"/>
      <c r="F111" s="22"/>
      <c r="G111" s="22"/>
      <c r="H111" s="22"/>
    </row>
    <row r="112" ht="14.25" customHeight="1">
      <c r="A112" s="22"/>
      <c r="B112" s="85">
        <f>SUM(B107:B111)</f>
        <v>27</v>
      </c>
      <c r="C112" s="22"/>
      <c r="D112" s="22"/>
      <c r="E112" s="22"/>
      <c r="F112" s="22"/>
      <c r="G112" s="22"/>
      <c r="H112" s="22"/>
    </row>
    <row r="113" ht="14.25" customHeight="1">
      <c r="A113" s="22"/>
      <c r="B113" s="22"/>
      <c r="C113" s="22"/>
      <c r="D113" s="22"/>
      <c r="E113" s="22"/>
      <c r="F113" s="22"/>
      <c r="G113" s="22"/>
      <c r="H113" s="22"/>
    </row>
    <row r="114" ht="14.25" customHeight="1">
      <c r="A114" s="34" t="s">
        <v>72</v>
      </c>
      <c r="B114" s="22"/>
      <c r="C114" s="22"/>
      <c r="D114" s="22"/>
      <c r="E114" s="22"/>
      <c r="F114" s="22"/>
      <c r="G114" s="22"/>
      <c r="H114" s="22"/>
    </row>
    <row r="115" ht="14.25" customHeight="1">
      <c r="A115" s="69" t="s">
        <v>67</v>
      </c>
      <c r="B115" s="69" t="s">
        <v>73</v>
      </c>
      <c r="C115" s="69" t="s">
        <v>74</v>
      </c>
      <c r="D115" s="69" t="s">
        <v>75</v>
      </c>
      <c r="E115" s="69" t="s">
        <v>68</v>
      </c>
      <c r="F115" s="22"/>
      <c r="G115" s="22"/>
      <c r="H115" s="22"/>
    </row>
    <row r="116" ht="14.25" customHeight="1">
      <c r="A116" s="22" t="s">
        <v>130</v>
      </c>
      <c r="B116" s="22">
        <v>20.0</v>
      </c>
      <c r="C116" s="22">
        <v>8.0</v>
      </c>
      <c r="D116" s="22">
        <v>0.0</v>
      </c>
      <c r="E116" s="22">
        <v>28.0</v>
      </c>
      <c r="F116" s="22"/>
      <c r="G116" s="22"/>
      <c r="H116" s="22"/>
    </row>
    <row r="117" ht="14.25" customHeight="1">
      <c r="A117" s="22" t="s">
        <v>70</v>
      </c>
      <c r="B117" s="22">
        <v>17.0</v>
      </c>
      <c r="C117" s="22">
        <v>0.0</v>
      </c>
      <c r="D117" s="22">
        <v>6.0</v>
      </c>
      <c r="E117" s="22">
        <v>23.0</v>
      </c>
      <c r="F117" s="22"/>
      <c r="G117" s="22"/>
      <c r="H117" s="22"/>
    </row>
    <row r="118" ht="14.25" customHeight="1">
      <c r="A118" s="22" t="s">
        <v>125</v>
      </c>
      <c r="B118" s="22">
        <v>5.0</v>
      </c>
      <c r="C118" s="22">
        <v>0.0</v>
      </c>
      <c r="D118" s="22">
        <v>0.0</v>
      </c>
      <c r="E118" s="22">
        <v>5.0</v>
      </c>
      <c r="F118" s="22"/>
      <c r="G118" s="22"/>
      <c r="H118" s="22"/>
    </row>
    <row r="119" ht="14.25" customHeight="1">
      <c r="A119" s="22" t="s">
        <v>122</v>
      </c>
      <c r="B119" s="22">
        <v>2.0</v>
      </c>
      <c r="C119" s="22">
        <v>0.0</v>
      </c>
      <c r="D119" s="22">
        <v>0.0</v>
      </c>
      <c r="E119" s="22">
        <v>2.0</v>
      </c>
      <c r="F119" s="22"/>
      <c r="G119" s="22"/>
      <c r="H119" s="22"/>
    </row>
    <row r="120" ht="14.25" customHeight="1">
      <c r="A120" s="22"/>
      <c r="B120" s="22"/>
      <c r="C120" s="22"/>
      <c r="D120" s="22"/>
      <c r="E120" s="22"/>
      <c r="F120" s="22"/>
      <c r="G120" s="22"/>
      <c r="H120" s="22"/>
    </row>
    <row r="121" ht="14.25" customHeight="1">
      <c r="A121" s="34" t="s">
        <v>77</v>
      </c>
      <c r="B121" s="22"/>
      <c r="C121" s="22"/>
      <c r="D121" s="22"/>
      <c r="E121" s="22"/>
      <c r="F121" s="22"/>
      <c r="G121" s="22"/>
      <c r="H121" s="22"/>
    </row>
    <row r="122" ht="14.25" customHeight="1">
      <c r="A122" s="48" t="s">
        <v>79</v>
      </c>
      <c r="B122" s="48" t="s">
        <v>5</v>
      </c>
      <c r="C122" s="22"/>
      <c r="D122" s="22"/>
      <c r="E122" s="22"/>
      <c r="F122" s="22"/>
      <c r="G122" s="22"/>
      <c r="H122" s="22"/>
    </row>
    <row r="123" ht="14.25" customHeight="1">
      <c r="A123" s="49" t="s">
        <v>133</v>
      </c>
      <c r="B123" s="49">
        <v>9.0</v>
      </c>
      <c r="C123" s="22"/>
      <c r="D123" s="22"/>
      <c r="E123" s="22"/>
      <c r="F123" s="22"/>
      <c r="G123" s="22"/>
      <c r="H123" s="22"/>
    </row>
    <row r="124" ht="14.25" customHeight="1">
      <c r="A124" s="49" t="s">
        <v>126</v>
      </c>
      <c r="B124" s="49">
        <v>7.0</v>
      </c>
      <c r="C124" s="22"/>
      <c r="D124" s="22"/>
      <c r="E124" s="22"/>
      <c r="F124" s="22"/>
      <c r="G124" s="22"/>
      <c r="H124" s="22"/>
    </row>
    <row r="125" ht="14.25" customHeight="1">
      <c r="A125" s="49" t="s">
        <v>86</v>
      </c>
      <c r="B125" s="49">
        <v>5.0</v>
      </c>
      <c r="C125" s="22"/>
      <c r="D125" s="22"/>
      <c r="E125" s="22"/>
      <c r="F125" s="22"/>
      <c r="G125" s="22"/>
      <c r="H125" s="22"/>
    </row>
    <row r="126" ht="14.25" customHeight="1">
      <c r="A126" s="49" t="s">
        <v>83</v>
      </c>
      <c r="B126" s="49">
        <v>3.0</v>
      </c>
      <c r="C126" s="22"/>
      <c r="D126" s="22"/>
      <c r="E126" s="22"/>
      <c r="F126" s="22"/>
      <c r="G126" s="22"/>
      <c r="H126" s="22"/>
    </row>
    <row r="127" ht="14.25" customHeight="1">
      <c r="A127" s="49" t="s">
        <v>88</v>
      </c>
      <c r="B127" s="49">
        <v>3.0</v>
      </c>
      <c r="C127" s="22"/>
      <c r="D127" s="22"/>
      <c r="E127" s="22"/>
      <c r="F127" s="22"/>
      <c r="G127" s="22"/>
      <c r="H127" s="22"/>
    </row>
    <row r="128" ht="14.25" customHeight="1">
      <c r="A128" s="49" t="s">
        <v>84</v>
      </c>
      <c r="B128" s="49">
        <v>2.0</v>
      </c>
      <c r="C128" s="22"/>
      <c r="D128" s="22"/>
      <c r="E128" s="22"/>
      <c r="F128" s="22"/>
      <c r="G128" s="22"/>
      <c r="H128" s="22"/>
    </row>
    <row r="129" ht="14.25" customHeight="1">
      <c r="A129" s="22"/>
      <c r="B129" s="22"/>
      <c r="C129" s="22"/>
      <c r="D129" s="22"/>
      <c r="E129" s="22"/>
      <c r="F129" s="22"/>
      <c r="G129" s="22"/>
      <c r="H129" s="22"/>
    </row>
    <row r="130" ht="14.25" customHeight="1">
      <c r="A130" s="97" t="s">
        <v>127</v>
      </c>
      <c r="B130" s="98">
        <v>105000.0</v>
      </c>
      <c r="C130" s="22"/>
      <c r="D130" s="22"/>
      <c r="E130" s="22"/>
      <c r="F130" s="22"/>
      <c r="G130" s="22"/>
      <c r="H130" s="22"/>
    </row>
    <row r="131" ht="14.25" customHeight="1">
      <c r="A131" s="97" t="s">
        <v>129</v>
      </c>
      <c r="B131" s="98">
        <v>0.0</v>
      </c>
      <c r="C131" s="22"/>
      <c r="D131" s="22"/>
      <c r="E131" s="22"/>
      <c r="F131" s="22"/>
      <c r="G131" s="22"/>
      <c r="H131" s="22"/>
    </row>
    <row r="132" ht="14.25" customHeight="1">
      <c r="A132" s="97" t="s">
        <v>131</v>
      </c>
      <c r="B132" s="98">
        <v>0.0</v>
      </c>
      <c r="C132" s="22"/>
      <c r="D132" s="22"/>
      <c r="E132" s="22"/>
      <c r="F132" s="22"/>
      <c r="G132" s="22"/>
      <c r="H132" s="22"/>
    </row>
    <row r="133" ht="14.25" customHeight="1">
      <c r="A133" s="97" t="s">
        <v>132</v>
      </c>
      <c r="B133" s="98">
        <v>0.0</v>
      </c>
      <c r="C133" s="22"/>
      <c r="D133" s="22"/>
      <c r="E133" s="22"/>
      <c r="F133" s="22"/>
      <c r="G133" s="22"/>
      <c r="H133" s="22"/>
    </row>
    <row r="134" ht="14.25" customHeight="1">
      <c r="A134" s="22"/>
      <c r="B134" s="22"/>
      <c r="C134" s="22"/>
      <c r="D134" s="22"/>
      <c r="E134" s="22"/>
      <c r="F134" s="22"/>
      <c r="G134" s="22"/>
      <c r="H134" s="22"/>
    </row>
    <row r="135" ht="14.25" customHeight="1">
      <c r="A135" s="54" t="s">
        <v>7</v>
      </c>
      <c r="B135" s="55">
        <f>SUM(B130:B133)</f>
        <v>105000</v>
      </c>
      <c r="C135" s="22"/>
      <c r="D135" s="22"/>
      <c r="E135" s="22"/>
      <c r="F135" s="22"/>
      <c r="G135" s="22"/>
      <c r="H135" s="22"/>
    </row>
    <row r="136" ht="14.25" customHeight="1">
      <c r="A136" s="99" t="s">
        <v>0</v>
      </c>
      <c r="B136" s="100">
        <v>3600.0</v>
      </c>
      <c r="C136" s="60">
        <v>1.0</v>
      </c>
      <c r="D136" s="22"/>
      <c r="E136" s="22"/>
      <c r="F136" s="22"/>
      <c r="G136" s="22"/>
      <c r="H136" s="22"/>
    </row>
    <row r="137" ht="14.25" customHeight="1">
      <c r="A137" s="22"/>
      <c r="B137" s="22"/>
      <c r="C137" s="22"/>
      <c r="D137" s="22"/>
      <c r="E137" s="22"/>
      <c r="F137" s="22"/>
      <c r="G137" s="22"/>
      <c r="H137" s="22"/>
    </row>
    <row r="138" ht="14.25" customHeight="1">
      <c r="A138" s="4" t="s">
        <v>1</v>
      </c>
      <c r="B138" s="9">
        <v>46205.0</v>
      </c>
      <c r="C138" s="22"/>
      <c r="D138" s="22"/>
      <c r="E138" s="22"/>
      <c r="F138" s="22"/>
      <c r="G138" s="22"/>
      <c r="H138" s="22"/>
    </row>
    <row r="139" ht="14.25" customHeight="1">
      <c r="A139" s="14" t="s">
        <v>3</v>
      </c>
      <c r="B139" s="101">
        <f>E103</f>
        <v>13.36</v>
      </c>
      <c r="C139" s="22"/>
      <c r="D139" s="22"/>
      <c r="E139" s="22"/>
      <c r="F139" s="22"/>
      <c r="G139" s="22"/>
      <c r="H139" s="22"/>
    </row>
    <row r="140" ht="14.25" customHeight="1">
      <c r="A140" s="14" t="s">
        <v>4</v>
      </c>
      <c r="B140" s="102">
        <f>B139*B136</f>
        <v>48096</v>
      </c>
      <c r="C140" s="22"/>
      <c r="D140" s="22"/>
      <c r="E140" s="22"/>
      <c r="F140" s="22"/>
      <c r="G140" s="22"/>
      <c r="H140" s="22"/>
    </row>
    <row r="141" ht="14.25" customHeight="1">
      <c r="A141" s="14" t="s">
        <v>5</v>
      </c>
      <c r="B141" s="103">
        <f>H103</f>
        <v>24</v>
      </c>
      <c r="C141" s="22"/>
      <c r="D141" s="22"/>
      <c r="E141" s="22"/>
      <c r="F141" s="22"/>
      <c r="G141" s="22"/>
      <c r="H141" s="22"/>
    </row>
    <row r="142" ht="14.25" customHeight="1">
      <c r="A142" s="14" t="s">
        <v>6</v>
      </c>
      <c r="B142" s="102">
        <f>B140/B141</f>
        <v>2004</v>
      </c>
      <c r="C142" s="22"/>
      <c r="D142" s="22"/>
      <c r="E142" s="22"/>
      <c r="F142" s="22"/>
      <c r="G142" s="22"/>
      <c r="H142" s="22"/>
    </row>
    <row r="143" ht="14.25" customHeight="1">
      <c r="A143" s="14" t="s">
        <v>7</v>
      </c>
      <c r="B143" s="104">
        <f>B135</f>
        <v>105000</v>
      </c>
      <c r="C143" s="22"/>
      <c r="D143" s="22"/>
      <c r="E143" s="22"/>
      <c r="F143" s="22"/>
      <c r="G143" s="22"/>
      <c r="H143" s="22"/>
    </row>
    <row r="144" ht="14.25" customHeight="1">
      <c r="A144" s="14" t="s">
        <v>9</v>
      </c>
      <c r="B144" s="25">
        <f>(B140*C136)/B143</f>
        <v>0.4580571429</v>
      </c>
      <c r="C144" s="22"/>
      <c r="D144" s="22"/>
      <c r="E144" s="22"/>
      <c r="F144" s="22"/>
      <c r="G144" s="22"/>
      <c r="H144" s="22"/>
    </row>
    <row r="145" ht="14.25" customHeight="1">
      <c r="A145" s="14" t="s">
        <v>18</v>
      </c>
      <c r="B145" s="105">
        <f>B143/B140</f>
        <v>2.183133733</v>
      </c>
      <c r="C145" s="22"/>
      <c r="D145" s="22"/>
      <c r="E145" s="22"/>
      <c r="F145" s="22"/>
      <c r="G145" s="22"/>
      <c r="H145" s="22"/>
    </row>
    <row r="146" ht="14.25" customHeight="1">
      <c r="A146" s="14" t="s">
        <v>22</v>
      </c>
      <c r="B146" s="104">
        <f>AVERAGE(B143)</f>
        <v>105000</v>
      </c>
      <c r="C146" s="22"/>
      <c r="D146" s="22"/>
      <c r="E146" s="22"/>
      <c r="F146" s="22"/>
      <c r="G146" s="22"/>
      <c r="H146" s="22"/>
    </row>
    <row r="147" ht="14.25" customHeight="1">
      <c r="A147" s="14" t="s">
        <v>29</v>
      </c>
      <c r="B147" s="106">
        <f>(B142/B140)*C136</f>
        <v>0.04166666667</v>
      </c>
      <c r="C147" s="22"/>
      <c r="D147" s="22"/>
      <c r="E147" s="22"/>
      <c r="F147" s="22"/>
      <c r="G147" s="22"/>
      <c r="H147" s="22"/>
    </row>
    <row r="148" ht="14.25" customHeight="1"/>
    <row r="149" ht="14.25" customHeight="1"/>
    <row r="150" ht="14.25" customHeight="1">
      <c r="A150" s="20" t="s">
        <v>154</v>
      </c>
      <c r="B150" s="22"/>
      <c r="C150" s="22"/>
      <c r="D150" s="22"/>
      <c r="E150" s="22"/>
      <c r="F150" s="22"/>
      <c r="G150" s="22"/>
      <c r="H150" s="22"/>
    </row>
    <row r="151" ht="14.25" customHeight="1">
      <c r="A151" s="69" t="s">
        <v>36</v>
      </c>
      <c r="B151" s="69" t="s">
        <v>39</v>
      </c>
      <c r="C151" s="69" t="s">
        <v>42</v>
      </c>
      <c r="D151" s="69" t="s">
        <v>44</v>
      </c>
      <c r="E151" s="69" t="s">
        <v>45</v>
      </c>
      <c r="F151" s="69" t="s">
        <v>46</v>
      </c>
      <c r="G151" s="69" t="s">
        <v>47</v>
      </c>
      <c r="H151" s="69" t="s">
        <v>111</v>
      </c>
    </row>
    <row r="152" ht="14.25" customHeight="1">
      <c r="A152" s="22" t="s">
        <v>155</v>
      </c>
      <c r="B152" s="22" t="s">
        <v>155</v>
      </c>
      <c r="C152" s="22" t="s">
        <v>50</v>
      </c>
      <c r="D152" s="22">
        <v>1.16</v>
      </c>
      <c r="E152" s="22">
        <v>8.12</v>
      </c>
      <c r="F152" s="22">
        <v>6395.0</v>
      </c>
      <c r="G152" s="22">
        <v>5274.0</v>
      </c>
      <c r="H152" s="22">
        <v>7.0</v>
      </c>
    </row>
    <row r="153" ht="14.25" customHeight="1">
      <c r="A153" s="22" t="s">
        <v>155</v>
      </c>
      <c r="B153" s="22" t="s">
        <v>155</v>
      </c>
      <c r="C153" s="22" t="s">
        <v>56</v>
      </c>
      <c r="D153" s="22">
        <v>0.298</v>
      </c>
      <c r="E153" s="22">
        <v>1.49</v>
      </c>
      <c r="F153" s="22">
        <v>2890.0</v>
      </c>
      <c r="G153" s="22">
        <v>2844.0</v>
      </c>
      <c r="H153" s="22">
        <v>5.0</v>
      </c>
    </row>
    <row r="154" ht="14.25" customHeight="1">
      <c r="A154" s="22" t="s">
        <v>155</v>
      </c>
      <c r="B154" s="22" t="s">
        <v>155</v>
      </c>
      <c r="C154" s="22" t="s">
        <v>59</v>
      </c>
      <c r="D154" s="22">
        <v>0.4</v>
      </c>
      <c r="E154" s="22">
        <v>1.2</v>
      </c>
      <c r="F154" s="22">
        <v>2404.0</v>
      </c>
      <c r="G154" s="22">
        <v>2399.0</v>
      </c>
      <c r="H154" s="22">
        <v>3.0</v>
      </c>
    </row>
    <row r="155" ht="14.25" customHeight="1">
      <c r="A155" s="22" t="s">
        <v>155</v>
      </c>
      <c r="B155" s="22" t="s">
        <v>155</v>
      </c>
      <c r="C155" s="22" t="s">
        <v>63</v>
      </c>
      <c r="D155" s="22">
        <v>1.34</v>
      </c>
      <c r="E155" s="22">
        <v>1.34</v>
      </c>
      <c r="F155" s="22">
        <v>1785.0</v>
      </c>
      <c r="G155" s="22">
        <v>1714.0</v>
      </c>
      <c r="H155" s="22">
        <v>1.0</v>
      </c>
    </row>
    <row r="156" ht="14.25" customHeight="1">
      <c r="A156" s="22"/>
      <c r="B156" s="22"/>
      <c r="C156" s="22"/>
      <c r="D156" s="69" t="s">
        <v>65</v>
      </c>
      <c r="E156" s="69">
        <f>SUM(E152:E155)</f>
        <v>12.15</v>
      </c>
      <c r="F156" s="22"/>
      <c r="G156" s="22"/>
      <c r="H156" s="69">
        <f>SUM(H152:H155)</f>
        <v>16</v>
      </c>
    </row>
    <row r="157" ht="14.25" customHeight="1">
      <c r="A157" s="22"/>
      <c r="B157" s="22"/>
      <c r="C157" s="22"/>
      <c r="D157" s="22"/>
      <c r="E157" s="22"/>
      <c r="F157" s="22"/>
      <c r="G157" s="22"/>
      <c r="H157" s="22"/>
    </row>
    <row r="158" ht="14.25" customHeight="1">
      <c r="A158" s="34" t="s">
        <v>66</v>
      </c>
      <c r="B158" s="22"/>
      <c r="C158" s="22"/>
      <c r="D158" s="22"/>
      <c r="E158" s="22"/>
      <c r="F158" s="22"/>
      <c r="G158" s="22"/>
      <c r="H158" s="22"/>
    </row>
    <row r="159" ht="14.25" customHeight="1">
      <c r="A159" s="69" t="s">
        <v>67</v>
      </c>
      <c r="B159" s="69" t="s">
        <v>68</v>
      </c>
      <c r="C159" s="22"/>
      <c r="D159" s="22"/>
      <c r="E159" s="22"/>
      <c r="F159" s="22"/>
      <c r="G159" s="22"/>
      <c r="H159" s="22"/>
    </row>
    <row r="160" ht="14.25" customHeight="1">
      <c r="A160" s="22" t="s">
        <v>120</v>
      </c>
      <c r="B160" s="22">
        <v>8.0</v>
      </c>
      <c r="C160" s="22"/>
      <c r="D160" s="22"/>
      <c r="E160" s="22"/>
      <c r="F160" s="22"/>
      <c r="G160" s="22"/>
      <c r="H160" s="22"/>
    </row>
    <row r="161" ht="14.25" customHeight="1">
      <c r="A161" s="22" t="s">
        <v>123</v>
      </c>
      <c r="B161" s="22">
        <v>5.0</v>
      </c>
      <c r="C161" s="22"/>
      <c r="D161" s="22"/>
      <c r="E161" s="22"/>
      <c r="F161" s="22"/>
      <c r="G161" s="22"/>
      <c r="H161" s="22"/>
    </row>
    <row r="162" ht="14.25" customHeight="1">
      <c r="A162" s="22" t="s">
        <v>121</v>
      </c>
      <c r="B162" s="22">
        <v>5.0</v>
      </c>
      <c r="C162" s="22"/>
      <c r="D162" s="22"/>
      <c r="E162" s="22"/>
      <c r="F162" s="22"/>
      <c r="G162" s="22"/>
      <c r="H162" s="22"/>
    </row>
    <row r="163" ht="14.25" customHeight="1">
      <c r="A163" s="22" t="s">
        <v>122</v>
      </c>
      <c r="B163" s="22">
        <v>3.0</v>
      </c>
      <c r="C163" s="22"/>
      <c r="D163" s="22"/>
      <c r="E163" s="22"/>
      <c r="F163" s="22"/>
      <c r="G163" s="22"/>
      <c r="H163" s="22"/>
    </row>
    <row r="164" ht="14.25" customHeight="1">
      <c r="A164" s="22" t="s">
        <v>70</v>
      </c>
      <c r="B164" s="22">
        <v>2.0</v>
      </c>
      <c r="C164" s="22"/>
      <c r="D164" s="22"/>
      <c r="E164" s="22"/>
      <c r="F164" s="22"/>
      <c r="G164" s="22"/>
      <c r="H164" s="22"/>
    </row>
    <row r="165" ht="14.25" customHeight="1">
      <c r="A165" s="22"/>
      <c r="B165" s="69">
        <f>SUM(B160:B164)</f>
        <v>23</v>
      </c>
      <c r="C165" s="22"/>
      <c r="D165" s="22"/>
      <c r="E165" s="22"/>
      <c r="F165" s="22"/>
      <c r="G165" s="22"/>
      <c r="H165" s="22"/>
    </row>
    <row r="166" ht="14.25" customHeight="1">
      <c r="A166" s="22"/>
      <c r="B166" s="22"/>
      <c r="C166" s="22"/>
      <c r="D166" s="22"/>
      <c r="E166" s="22"/>
      <c r="F166" s="22"/>
      <c r="G166" s="22"/>
      <c r="H166" s="22"/>
    </row>
    <row r="167" ht="14.25" customHeight="1">
      <c r="A167" s="34" t="s">
        <v>72</v>
      </c>
      <c r="B167" s="22"/>
      <c r="C167" s="22"/>
      <c r="D167" s="22"/>
      <c r="E167" s="22"/>
      <c r="F167" s="22"/>
      <c r="G167" s="22"/>
      <c r="H167" s="22"/>
    </row>
    <row r="168" ht="14.25" customHeight="1">
      <c r="A168" s="69" t="s">
        <v>67</v>
      </c>
      <c r="B168" s="69" t="s">
        <v>73</v>
      </c>
      <c r="C168" s="69" t="s">
        <v>74</v>
      </c>
      <c r="D168" s="69" t="s">
        <v>75</v>
      </c>
      <c r="E168" s="69" t="s">
        <v>68</v>
      </c>
      <c r="F168" s="22"/>
      <c r="G168" s="22"/>
      <c r="H168" s="22"/>
    </row>
    <row r="169" ht="14.25" customHeight="1">
      <c r="A169" s="22" t="s">
        <v>120</v>
      </c>
      <c r="B169" s="22">
        <v>24.0</v>
      </c>
      <c r="C169" s="22">
        <v>5.0</v>
      </c>
      <c r="D169" s="22">
        <v>1.0</v>
      </c>
      <c r="E169" s="22">
        <v>30.0</v>
      </c>
      <c r="F169" s="22"/>
      <c r="G169" s="22"/>
      <c r="H169" s="22"/>
    </row>
    <row r="170" ht="14.25" customHeight="1">
      <c r="A170" s="22" t="s">
        <v>70</v>
      </c>
      <c r="B170" s="22">
        <v>9.0</v>
      </c>
      <c r="C170" s="22">
        <v>0.0</v>
      </c>
      <c r="D170" s="22">
        <v>1.0</v>
      </c>
      <c r="E170" s="22">
        <v>10.0</v>
      </c>
      <c r="F170" s="22"/>
      <c r="G170" s="22"/>
      <c r="H170" s="22"/>
    </row>
    <row r="171" ht="14.25" customHeight="1">
      <c r="A171" s="22" t="s">
        <v>123</v>
      </c>
      <c r="B171" s="22">
        <v>10.0</v>
      </c>
      <c r="C171" s="22">
        <v>0.0</v>
      </c>
      <c r="D171" s="22">
        <v>0.0</v>
      </c>
      <c r="E171" s="22">
        <v>10.0</v>
      </c>
      <c r="F171" s="22"/>
      <c r="G171" s="22"/>
      <c r="H171" s="22"/>
    </row>
    <row r="172" ht="14.25" customHeight="1">
      <c r="A172" s="22" t="s">
        <v>130</v>
      </c>
      <c r="B172" s="22">
        <v>6.0</v>
      </c>
      <c r="C172" s="22">
        <v>1.0</v>
      </c>
      <c r="D172" s="22">
        <v>1.0</v>
      </c>
      <c r="E172" s="22">
        <v>8.0</v>
      </c>
      <c r="F172" s="22"/>
      <c r="G172" s="22"/>
      <c r="H172" s="22"/>
    </row>
    <row r="173" ht="14.25" customHeight="1">
      <c r="A173" s="22" t="s">
        <v>125</v>
      </c>
      <c r="B173" s="22">
        <v>4.0</v>
      </c>
      <c r="C173" s="22">
        <v>0.0</v>
      </c>
      <c r="D173" s="22">
        <v>0.0</v>
      </c>
      <c r="E173" s="22">
        <v>4.0</v>
      </c>
      <c r="F173" s="22"/>
      <c r="G173" s="22"/>
      <c r="H173" s="22"/>
    </row>
    <row r="174" ht="14.25" customHeight="1">
      <c r="A174" s="22" t="s">
        <v>121</v>
      </c>
      <c r="B174" s="22">
        <v>0.0</v>
      </c>
      <c r="C174" s="22">
        <v>0.0</v>
      </c>
      <c r="D174" s="22">
        <v>2.0</v>
      </c>
      <c r="E174" s="22">
        <v>2.0</v>
      </c>
      <c r="F174" s="22"/>
      <c r="G174" s="22"/>
      <c r="H174" s="22"/>
    </row>
    <row r="175" ht="14.25" customHeight="1">
      <c r="A175" s="22"/>
      <c r="B175" s="22"/>
      <c r="C175" s="22"/>
      <c r="D175" s="22"/>
      <c r="E175" s="22"/>
      <c r="F175" s="22"/>
      <c r="G175" s="22"/>
      <c r="H175" s="22"/>
    </row>
    <row r="176" ht="14.25" customHeight="1">
      <c r="A176" s="34" t="s">
        <v>77</v>
      </c>
      <c r="B176" s="22"/>
      <c r="C176" s="22"/>
      <c r="D176" s="22"/>
      <c r="E176" s="22"/>
      <c r="F176" s="22"/>
      <c r="G176" s="22"/>
      <c r="H176" s="22"/>
    </row>
    <row r="177" ht="14.25" customHeight="1">
      <c r="A177" s="48" t="s">
        <v>79</v>
      </c>
      <c r="B177" s="48" t="s">
        <v>5</v>
      </c>
      <c r="C177" s="22"/>
      <c r="D177" s="22"/>
      <c r="E177" s="22"/>
      <c r="F177" s="22"/>
      <c r="G177" s="22"/>
      <c r="H177" s="22"/>
    </row>
    <row r="178" ht="14.25" customHeight="1">
      <c r="A178" s="49" t="s">
        <v>126</v>
      </c>
      <c r="B178" s="49">
        <v>5.0</v>
      </c>
      <c r="C178" s="22"/>
      <c r="D178" s="22"/>
      <c r="E178" s="22"/>
      <c r="F178" s="22"/>
      <c r="G178" s="22"/>
      <c r="H178" s="22"/>
    </row>
    <row r="179" ht="14.25" customHeight="1">
      <c r="A179" s="49" t="s">
        <v>158</v>
      </c>
      <c r="B179" s="49">
        <v>4.0</v>
      </c>
      <c r="C179" s="22"/>
      <c r="D179" s="22"/>
      <c r="E179" s="22"/>
      <c r="F179" s="22"/>
      <c r="G179" s="22"/>
      <c r="H179" s="22"/>
    </row>
    <row r="180" ht="14.25" customHeight="1">
      <c r="A180" s="49" t="s">
        <v>133</v>
      </c>
      <c r="B180" s="49">
        <v>4.0</v>
      </c>
      <c r="C180" s="22"/>
      <c r="D180" s="22"/>
      <c r="E180" s="22"/>
      <c r="F180" s="22"/>
      <c r="G180" s="22"/>
      <c r="H180" s="22"/>
    </row>
    <row r="181" ht="14.25" customHeight="1">
      <c r="A181" s="49" t="s">
        <v>84</v>
      </c>
      <c r="B181" s="49">
        <v>3.0</v>
      </c>
      <c r="C181" s="22"/>
      <c r="D181" s="22"/>
      <c r="E181" s="22"/>
      <c r="F181" s="22"/>
      <c r="G181" s="22"/>
      <c r="H181" s="22"/>
    </row>
    <row r="182" ht="14.25" customHeight="1">
      <c r="A182" s="49" t="s">
        <v>88</v>
      </c>
      <c r="B182" s="49">
        <v>3.0</v>
      </c>
      <c r="C182" s="22"/>
      <c r="D182" s="22"/>
      <c r="E182" s="22"/>
      <c r="F182" s="22"/>
      <c r="G182" s="22"/>
      <c r="H182" s="22"/>
    </row>
    <row r="183" ht="14.25" customHeight="1">
      <c r="A183" s="49" t="s">
        <v>159</v>
      </c>
      <c r="B183" s="49">
        <v>1.0</v>
      </c>
      <c r="C183" s="22"/>
      <c r="D183" s="22"/>
      <c r="E183" s="22"/>
      <c r="F183" s="22"/>
      <c r="G183" s="22"/>
      <c r="H183" s="22"/>
    </row>
    <row r="184" ht="14.25" customHeight="1">
      <c r="A184" s="49" t="s">
        <v>86</v>
      </c>
      <c r="B184" s="49">
        <v>1.0</v>
      </c>
      <c r="C184" s="22"/>
      <c r="D184" s="22"/>
      <c r="E184" s="22"/>
      <c r="F184" s="22"/>
      <c r="G184" s="22"/>
      <c r="H184" s="22"/>
    </row>
    <row r="185" ht="14.25" customHeight="1">
      <c r="A185" s="49"/>
      <c r="B185" s="49"/>
      <c r="C185" s="22"/>
      <c r="D185" s="22"/>
      <c r="E185" s="22"/>
      <c r="F185" s="22"/>
      <c r="G185" s="22"/>
      <c r="H185" s="22"/>
    </row>
    <row r="186" ht="14.25" customHeight="1">
      <c r="A186" s="97" t="s">
        <v>127</v>
      </c>
      <c r="B186" s="98">
        <v>362800.0</v>
      </c>
      <c r="C186" s="22"/>
      <c r="D186" s="22"/>
      <c r="E186" s="22"/>
      <c r="F186" s="22"/>
      <c r="G186" s="22"/>
      <c r="H186" s="22"/>
    </row>
    <row r="187" ht="14.25" customHeight="1">
      <c r="A187" s="97" t="s">
        <v>129</v>
      </c>
      <c r="B187" s="98">
        <v>0.0</v>
      </c>
      <c r="C187" s="22"/>
      <c r="D187" s="22"/>
      <c r="E187" s="22"/>
      <c r="F187" s="22"/>
      <c r="G187" s="22"/>
      <c r="H187" s="22"/>
    </row>
    <row r="188" ht="14.25" customHeight="1">
      <c r="A188" s="97" t="s">
        <v>131</v>
      </c>
      <c r="B188" s="98">
        <v>0.0</v>
      </c>
      <c r="C188" s="22"/>
      <c r="D188" s="22"/>
      <c r="E188" s="22"/>
      <c r="F188" s="22"/>
      <c r="G188" s="22"/>
      <c r="H188" s="22"/>
    </row>
    <row r="189" ht="14.25" customHeight="1">
      <c r="A189" s="97" t="s">
        <v>132</v>
      </c>
      <c r="B189" s="98">
        <v>0.0</v>
      </c>
      <c r="C189" s="22"/>
      <c r="D189" s="22"/>
      <c r="E189" s="22"/>
      <c r="F189" s="22"/>
      <c r="G189" s="22"/>
      <c r="H189" s="22"/>
    </row>
    <row r="190" ht="14.25" customHeight="1">
      <c r="A190" s="22"/>
      <c r="B190" s="22"/>
      <c r="C190" s="22"/>
      <c r="D190" s="22"/>
      <c r="E190" s="22"/>
      <c r="F190" s="22"/>
      <c r="G190" s="22"/>
      <c r="H190" s="22"/>
    </row>
    <row r="191" ht="14.25" customHeight="1">
      <c r="A191" s="54" t="s">
        <v>7</v>
      </c>
      <c r="B191" s="55">
        <f>SUM(B186:B189)</f>
        <v>362800</v>
      </c>
      <c r="C191" s="22"/>
      <c r="D191" s="22"/>
      <c r="E191" s="22"/>
      <c r="F191" s="22"/>
      <c r="G191" s="22"/>
      <c r="H191" s="22"/>
    </row>
    <row r="192" ht="14.25" customHeight="1">
      <c r="A192" s="99" t="s">
        <v>0</v>
      </c>
      <c r="B192" s="100">
        <v>3600.0</v>
      </c>
      <c r="C192" s="60">
        <v>1.0</v>
      </c>
      <c r="D192" s="22"/>
      <c r="E192" s="22"/>
      <c r="F192" s="22"/>
      <c r="G192" s="22"/>
      <c r="H192" s="22"/>
    </row>
    <row r="193" ht="14.25" customHeight="1">
      <c r="A193" s="22"/>
      <c r="B193" s="22"/>
      <c r="C193" s="22"/>
      <c r="D193" s="22"/>
      <c r="E193" s="22"/>
      <c r="F193" s="22"/>
      <c r="G193" s="22"/>
      <c r="H193" s="22"/>
    </row>
    <row r="194" ht="14.25" customHeight="1">
      <c r="A194" s="4" t="s">
        <v>1</v>
      </c>
      <c r="B194" s="9">
        <v>46206.0</v>
      </c>
      <c r="C194" s="22"/>
      <c r="D194" s="22"/>
      <c r="E194" s="22"/>
      <c r="F194" s="22"/>
      <c r="G194" s="22"/>
      <c r="H194" s="22"/>
    </row>
    <row r="195" ht="14.25" customHeight="1">
      <c r="A195" s="14" t="s">
        <v>3</v>
      </c>
      <c r="B195" s="101">
        <f>E156</f>
        <v>12.15</v>
      </c>
      <c r="C195" s="22"/>
      <c r="D195" s="22"/>
      <c r="E195" s="22"/>
      <c r="F195" s="22"/>
      <c r="G195" s="22"/>
      <c r="H195" s="22"/>
    </row>
    <row r="196" ht="14.25" customHeight="1">
      <c r="A196" s="14" t="s">
        <v>4</v>
      </c>
      <c r="B196" s="102">
        <f>B195*B192</f>
        <v>43740</v>
      </c>
      <c r="C196" s="22"/>
      <c r="D196" s="22"/>
      <c r="E196" s="22"/>
      <c r="F196" s="22"/>
      <c r="G196" s="22"/>
      <c r="H196" s="22"/>
    </row>
    <row r="197" ht="14.25" customHeight="1">
      <c r="A197" s="14" t="s">
        <v>5</v>
      </c>
      <c r="B197" s="103">
        <f>H156</f>
        <v>16</v>
      </c>
      <c r="C197" s="22"/>
      <c r="D197" s="22"/>
      <c r="E197" s="22"/>
      <c r="F197" s="22"/>
      <c r="G197" s="22"/>
      <c r="H197" s="22"/>
    </row>
    <row r="198" ht="14.25" customHeight="1">
      <c r="A198" s="14" t="s">
        <v>6</v>
      </c>
      <c r="B198" s="102">
        <f>B196/B197</f>
        <v>2733.75</v>
      </c>
      <c r="C198" s="22"/>
      <c r="D198" s="22"/>
      <c r="E198" s="22"/>
      <c r="F198" s="22"/>
      <c r="G198" s="22"/>
      <c r="H198" s="22"/>
    </row>
    <row r="199" ht="14.25" customHeight="1">
      <c r="A199" s="14" t="s">
        <v>7</v>
      </c>
      <c r="B199" s="104">
        <f>B191</f>
        <v>362800</v>
      </c>
      <c r="C199" s="22"/>
      <c r="D199" s="22"/>
      <c r="E199" s="22"/>
      <c r="F199" s="22"/>
      <c r="G199" s="22"/>
      <c r="H199" s="22"/>
    </row>
    <row r="200" ht="14.25" customHeight="1">
      <c r="A200" s="14" t="s">
        <v>9</v>
      </c>
      <c r="B200" s="25">
        <f>(B196*C192)/B199</f>
        <v>0.1205622933</v>
      </c>
      <c r="C200" s="22"/>
      <c r="D200" s="22"/>
      <c r="E200" s="22"/>
      <c r="F200" s="22"/>
      <c r="G200" s="22"/>
      <c r="H200" s="22"/>
    </row>
    <row r="201" ht="14.25" customHeight="1">
      <c r="A201" s="14" t="s">
        <v>18</v>
      </c>
      <c r="B201" s="105">
        <f>B199/B196</f>
        <v>8.294467307</v>
      </c>
      <c r="C201" s="22"/>
      <c r="D201" s="22"/>
      <c r="E201" s="22"/>
      <c r="F201" s="22"/>
      <c r="G201" s="22"/>
      <c r="H201" s="22"/>
    </row>
    <row r="202" ht="14.25" customHeight="1">
      <c r="A202" s="14" t="s">
        <v>22</v>
      </c>
      <c r="B202" s="104">
        <f>AVERAGE(B199)</f>
        <v>362800</v>
      </c>
      <c r="C202" s="22"/>
      <c r="D202" s="22"/>
      <c r="E202" s="22"/>
      <c r="F202" s="22"/>
      <c r="G202" s="22"/>
      <c r="H202" s="22"/>
    </row>
    <row r="203" ht="14.25" customHeight="1">
      <c r="A203" s="14" t="s">
        <v>29</v>
      </c>
      <c r="B203" s="106">
        <f>(B198/B196)*C192</f>
        <v>0.0625</v>
      </c>
      <c r="C203" s="22"/>
      <c r="D203" s="22"/>
      <c r="E203" s="22"/>
      <c r="F203" s="22"/>
      <c r="G203" s="22"/>
      <c r="H203" s="22"/>
    </row>
    <row r="204" ht="14.25" customHeight="1"/>
    <row r="205" ht="14.25" customHeight="1"/>
    <row r="206" ht="14.25" customHeight="1">
      <c r="A206" s="20" t="s">
        <v>161</v>
      </c>
      <c r="B206" s="22"/>
      <c r="C206" s="22"/>
      <c r="D206" s="22"/>
      <c r="E206" s="22"/>
      <c r="F206" s="22"/>
      <c r="G206" s="22"/>
      <c r="H206" s="22"/>
    </row>
    <row r="207" ht="14.25" customHeight="1">
      <c r="A207" s="69" t="s">
        <v>36</v>
      </c>
      <c r="B207" s="69" t="s">
        <v>39</v>
      </c>
      <c r="C207" s="69" t="s">
        <v>42</v>
      </c>
      <c r="D207" s="69" t="s">
        <v>44</v>
      </c>
      <c r="E207" s="69" t="s">
        <v>45</v>
      </c>
      <c r="F207" s="69" t="s">
        <v>46</v>
      </c>
      <c r="G207" s="69" t="s">
        <v>47</v>
      </c>
      <c r="H207" s="69" t="s">
        <v>111</v>
      </c>
    </row>
    <row r="208" ht="14.25" customHeight="1">
      <c r="A208" s="22" t="s">
        <v>162</v>
      </c>
      <c r="B208" s="22" t="s">
        <v>162</v>
      </c>
      <c r="C208" s="22" t="s">
        <v>50</v>
      </c>
      <c r="D208" s="22">
        <v>0.705</v>
      </c>
      <c r="E208" s="22">
        <v>9.87</v>
      </c>
      <c r="F208" s="22">
        <v>7766.0</v>
      </c>
      <c r="G208" s="22">
        <v>6414.0</v>
      </c>
      <c r="H208" s="22">
        <v>14.0</v>
      </c>
    </row>
    <row r="209" ht="14.25" customHeight="1">
      <c r="A209" s="22" t="s">
        <v>162</v>
      </c>
      <c r="B209" s="22" t="s">
        <v>162</v>
      </c>
      <c r="C209" s="22" t="s">
        <v>56</v>
      </c>
      <c r="D209" s="22">
        <v>0.22142857</v>
      </c>
      <c r="E209" s="22">
        <v>1.55</v>
      </c>
      <c r="F209" s="22">
        <v>2720.0</v>
      </c>
      <c r="G209" s="22">
        <v>2642.0</v>
      </c>
      <c r="H209" s="22">
        <v>7.0</v>
      </c>
    </row>
    <row r="210" ht="14.25" customHeight="1">
      <c r="A210" s="22" t="s">
        <v>162</v>
      </c>
      <c r="B210" s="22" t="s">
        <v>162</v>
      </c>
      <c r="C210" s="22" t="s">
        <v>59</v>
      </c>
      <c r="D210" s="22">
        <v>0.76</v>
      </c>
      <c r="E210" s="22">
        <v>1.52</v>
      </c>
      <c r="F210" s="22">
        <v>2288.0</v>
      </c>
      <c r="G210" s="22">
        <v>2247.0</v>
      </c>
      <c r="H210" s="22">
        <v>2.0</v>
      </c>
    </row>
    <row r="211" ht="14.25" customHeight="1">
      <c r="A211" s="22" t="s">
        <v>162</v>
      </c>
      <c r="B211" s="22" t="s">
        <v>162</v>
      </c>
      <c r="C211" s="22" t="s">
        <v>61</v>
      </c>
      <c r="D211" s="22">
        <v>0.6</v>
      </c>
      <c r="E211" s="22">
        <v>1.2</v>
      </c>
      <c r="F211" s="22">
        <v>1253.0</v>
      </c>
      <c r="G211" s="22">
        <v>1238.0</v>
      </c>
      <c r="H211" s="22">
        <v>2.0</v>
      </c>
    </row>
    <row r="212" ht="14.25" customHeight="1">
      <c r="A212" s="22" t="s">
        <v>162</v>
      </c>
      <c r="B212" s="22" t="s">
        <v>162</v>
      </c>
      <c r="C212" s="22" t="s">
        <v>63</v>
      </c>
      <c r="D212" s="22">
        <v>0.345</v>
      </c>
      <c r="E212" s="22">
        <v>1.38</v>
      </c>
      <c r="F212" s="22">
        <v>2018.0</v>
      </c>
      <c r="G212" s="22">
        <v>1916.0</v>
      </c>
      <c r="H212" s="22">
        <v>4.0</v>
      </c>
    </row>
    <row r="213" ht="14.25" customHeight="1">
      <c r="A213" s="22"/>
      <c r="B213" s="22"/>
      <c r="C213" s="22"/>
      <c r="D213" s="111" t="s">
        <v>65</v>
      </c>
      <c r="E213" s="111">
        <f>SUM(E208:E212)</f>
        <v>15.52</v>
      </c>
      <c r="F213" s="22"/>
      <c r="G213" s="22"/>
      <c r="H213" s="69">
        <f>SUM(H208:H212)</f>
        <v>29</v>
      </c>
    </row>
    <row r="214" ht="14.25" customHeight="1">
      <c r="A214" s="22"/>
      <c r="B214" s="22"/>
      <c r="C214" s="22"/>
      <c r="D214" s="22"/>
      <c r="E214" s="22"/>
      <c r="F214" s="22"/>
      <c r="G214" s="22"/>
      <c r="H214" s="22"/>
    </row>
    <row r="215" ht="14.25" customHeight="1">
      <c r="A215" s="34" t="s">
        <v>66</v>
      </c>
      <c r="B215" s="22"/>
      <c r="C215" s="22"/>
      <c r="D215" s="22"/>
      <c r="E215" s="22"/>
      <c r="F215" s="22"/>
      <c r="G215" s="22"/>
      <c r="H215" s="22"/>
    </row>
    <row r="216" ht="14.25" customHeight="1">
      <c r="A216" s="69" t="s">
        <v>67</v>
      </c>
      <c r="B216" s="69" t="s">
        <v>68</v>
      </c>
      <c r="C216" s="22"/>
      <c r="D216" s="22"/>
      <c r="E216" s="22"/>
      <c r="F216" s="22"/>
      <c r="G216" s="22"/>
      <c r="H216" s="22"/>
    </row>
    <row r="217" ht="14.25" customHeight="1">
      <c r="A217" s="22" t="s">
        <v>121</v>
      </c>
      <c r="B217" s="22">
        <v>10.0</v>
      </c>
      <c r="C217" s="22"/>
      <c r="D217" s="22"/>
      <c r="E217" s="22"/>
      <c r="F217" s="22"/>
      <c r="G217" s="22"/>
      <c r="H217" s="22"/>
    </row>
    <row r="218" ht="14.25" customHeight="1">
      <c r="A218" s="22" t="s">
        <v>120</v>
      </c>
      <c r="B218" s="22">
        <v>10.0</v>
      </c>
      <c r="C218" s="22"/>
      <c r="D218" s="22"/>
      <c r="E218" s="22"/>
      <c r="F218" s="22"/>
      <c r="G218" s="22"/>
      <c r="H218" s="22"/>
    </row>
    <row r="219" ht="14.25" customHeight="1">
      <c r="A219" s="22" t="s">
        <v>122</v>
      </c>
      <c r="B219" s="22">
        <v>9.0</v>
      </c>
      <c r="C219" s="22"/>
      <c r="D219" s="22"/>
      <c r="E219" s="22"/>
      <c r="F219" s="22"/>
      <c r="G219" s="22"/>
      <c r="H219" s="22"/>
    </row>
    <row r="220" ht="14.25" customHeight="1">
      <c r="A220" s="22" t="s">
        <v>123</v>
      </c>
      <c r="B220" s="22">
        <v>5.0</v>
      </c>
      <c r="C220" s="22"/>
      <c r="D220" s="22"/>
      <c r="E220" s="22"/>
      <c r="F220" s="22"/>
      <c r="G220" s="22"/>
      <c r="H220" s="22"/>
    </row>
    <row r="221" ht="14.25" customHeight="1">
      <c r="A221" s="22" t="s">
        <v>70</v>
      </c>
      <c r="B221" s="22">
        <v>4.0</v>
      </c>
      <c r="C221" s="22"/>
      <c r="D221" s="22"/>
      <c r="E221" s="22"/>
      <c r="F221" s="22"/>
      <c r="G221" s="22"/>
      <c r="H221" s="22"/>
    </row>
    <row r="222" ht="14.25" customHeight="1">
      <c r="A222" s="22"/>
      <c r="B222" s="69">
        <f>SUM(B217:B221)</f>
        <v>38</v>
      </c>
      <c r="C222" s="22"/>
      <c r="D222" s="22"/>
      <c r="E222" s="22"/>
      <c r="F222" s="22"/>
      <c r="G222" s="22"/>
      <c r="H222" s="22"/>
    </row>
    <row r="223" ht="14.25" customHeight="1">
      <c r="A223" s="22"/>
      <c r="B223" s="22"/>
      <c r="C223" s="22"/>
      <c r="D223" s="22"/>
      <c r="E223" s="22"/>
      <c r="F223" s="22"/>
      <c r="G223" s="22"/>
      <c r="H223" s="22"/>
    </row>
    <row r="224" ht="14.25" customHeight="1">
      <c r="A224" s="34" t="s">
        <v>72</v>
      </c>
      <c r="B224" s="22"/>
      <c r="C224" s="22"/>
      <c r="D224" s="22"/>
      <c r="E224" s="22"/>
      <c r="F224" s="22"/>
      <c r="G224" s="22"/>
      <c r="H224" s="22"/>
    </row>
    <row r="225" ht="14.25" customHeight="1">
      <c r="A225" s="69" t="s">
        <v>67</v>
      </c>
      <c r="B225" s="69" t="s">
        <v>73</v>
      </c>
      <c r="C225" s="69" t="s">
        <v>74</v>
      </c>
      <c r="D225" s="69" t="s">
        <v>75</v>
      </c>
      <c r="E225" s="69" t="s">
        <v>68</v>
      </c>
      <c r="F225" s="22"/>
      <c r="G225" s="22"/>
      <c r="H225" s="22"/>
    </row>
    <row r="226" ht="14.25" customHeight="1">
      <c r="A226" s="22" t="s">
        <v>70</v>
      </c>
      <c r="B226" s="22">
        <v>19.0</v>
      </c>
      <c r="C226" s="22">
        <v>10.0</v>
      </c>
      <c r="D226" s="22">
        <v>0.0</v>
      </c>
      <c r="E226" s="22">
        <v>29.0</v>
      </c>
      <c r="F226" s="22"/>
      <c r="G226" s="22"/>
      <c r="H226" s="22"/>
    </row>
    <row r="227" ht="14.25" customHeight="1">
      <c r="A227" s="22" t="s">
        <v>121</v>
      </c>
      <c r="B227" s="22">
        <v>14.0</v>
      </c>
      <c r="C227" s="22">
        <v>0.0</v>
      </c>
      <c r="D227" s="22">
        <v>0.0</v>
      </c>
      <c r="E227" s="22">
        <v>14.0</v>
      </c>
      <c r="F227" s="22"/>
      <c r="G227" s="22"/>
      <c r="H227" s="22"/>
    </row>
    <row r="228" ht="14.25" customHeight="1">
      <c r="A228" s="22" t="s">
        <v>123</v>
      </c>
      <c r="B228" s="22">
        <v>8.0</v>
      </c>
      <c r="C228" s="22">
        <v>2.0</v>
      </c>
      <c r="D228" s="22">
        <v>0.0</v>
      </c>
      <c r="E228" s="22">
        <v>10.0</v>
      </c>
      <c r="F228" s="22"/>
      <c r="G228" s="22"/>
      <c r="H228" s="22"/>
    </row>
    <row r="229" ht="14.25" customHeight="1">
      <c r="A229" s="22" t="s">
        <v>125</v>
      </c>
      <c r="B229" s="22">
        <v>0.0</v>
      </c>
      <c r="C229" s="22">
        <v>7.0</v>
      </c>
      <c r="D229" s="22">
        <v>0.0</v>
      </c>
      <c r="E229" s="22">
        <v>7.0</v>
      </c>
      <c r="F229" s="22"/>
      <c r="G229" s="22"/>
      <c r="H229" s="22"/>
    </row>
    <row r="230" ht="14.25" customHeight="1">
      <c r="A230" s="22" t="s">
        <v>122</v>
      </c>
      <c r="B230" s="22">
        <v>4.0</v>
      </c>
      <c r="C230" s="22">
        <v>2.0</v>
      </c>
      <c r="D230" s="22">
        <v>0.0</v>
      </c>
      <c r="E230" s="22">
        <v>6.0</v>
      </c>
      <c r="F230" s="22"/>
      <c r="G230" s="22"/>
      <c r="H230" s="22"/>
    </row>
    <row r="231" ht="14.25" customHeight="1">
      <c r="A231" s="22"/>
      <c r="B231" s="22"/>
      <c r="C231" s="22"/>
      <c r="D231" s="22"/>
      <c r="E231" s="22"/>
      <c r="F231" s="22"/>
      <c r="G231" s="22"/>
      <c r="H231" s="22"/>
    </row>
    <row r="232" ht="14.25" customHeight="1">
      <c r="A232" s="34" t="s">
        <v>77</v>
      </c>
      <c r="B232" s="22"/>
      <c r="C232" s="22"/>
      <c r="D232" s="22"/>
      <c r="E232" s="22"/>
      <c r="F232" s="22"/>
      <c r="G232" s="22"/>
      <c r="H232" s="22"/>
    </row>
    <row r="233" ht="14.25" customHeight="1">
      <c r="A233" s="112" t="s">
        <v>79</v>
      </c>
      <c r="B233" s="112" t="s">
        <v>5</v>
      </c>
      <c r="C233" s="22"/>
      <c r="D233" s="22"/>
      <c r="E233" s="22"/>
      <c r="F233" s="22"/>
      <c r="G233" s="22"/>
      <c r="H233" s="22"/>
    </row>
    <row r="234" ht="14.25" customHeight="1">
      <c r="A234" s="49" t="s">
        <v>133</v>
      </c>
      <c r="B234" s="49">
        <v>11.0</v>
      </c>
      <c r="C234" s="22"/>
      <c r="D234" s="22"/>
      <c r="E234" s="22"/>
      <c r="F234" s="22"/>
      <c r="G234" s="22"/>
      <c r="H234" s="22"/>
    </row>
    <row r="235" ht="14.25" customHeight="1">
      <c r="A235" s="49" t="s">
        <v>126</v>
      </c>
      <c r="B235" s="49">
        <v>9.0</v>
      </c>
      <c r="C235" s="22"/>
      <c r="D235" s="22"/>
      <c r="E235" s="22"/>
      <c r="F235" s="22"/>
      <c r="G235" s="22"/>
      <c r="H235" s="22"/>
    </row>
    <row r="236" ht="14.25" customHeight="1">
      <c r="A236" s="49" t="s">
        <v>158</v>
      </c>
      <c r="B236" s="49">
        <v>7.0</v>
      </c>
      <c r="C236" s="22"/>
      <c r="D236" s="22"/>
      <c r="E236" s="22"/>
      <c r="F236" s="22"/>
      <c r="G236" s="22"/>
      <c r="H236" s="22"/>
    </row>
    <row r="237" ht="14.25" customHeight="1">
      <c r="A237" s="49" t="s">
        <v>88</v>
      </c>
      <c r="B237" s="49">
        <v>5.0</v>
      </c>
      <c r="C237" s="22"/>
      <c r="D237" s="22"/>
      <c r="E237" s="22"/>
      <c r="F237" s="22"/>
      <c r="G237" s="22"/>
      <c r="H237" s="22"/>
    </row>
    <row r="238" ht="14.25" customHeight="1">
      <c r="A238" s="49" t="s">
        <v>83</v>
      </c>
      <c r="B238" s="49">
        <v>5.0</v>
      </c>
      <c r="C238" s="22"/>
      <c r="D238" s="22"/>
      <c r="E238" s="22"/>
      <c r="F238" s="22"/>
      <c r="G238" s="22"/>
      <c r="H238" s="22"/>
    </row>
    <row r="239" ht="14.25" customHeight="1">
      <c r="A239" s="49" t="s">
        <v>86</v>
      </c>
      <c r="B239" s="49">
        <v>4.0</v>
      </c>
      <c r="C239" s="22"/>
      <c r="D239" s="22"/>
      <c r="E239" s="22"/>
      <c r="F239" s="22"/>
      <c r="G239" s="22"/>
      <c r="H239" s="22"/>
    </row>
    <row r="240" ht="14.25" customHeight="1">
      <c r="A240" s="49" t="s">
        <v>165</v>
      </c>
      <c r="B240" s="49">
        <v>1.0</v>
      </c>
      <c r="C240" s="22"/>
      <c r="D240" s="22"/>
      <c r="E240" s="22"/>
      <c r="F240" s="22"/>
      <c r="G240" s="22"/>
      <c r="H240" s="22"/>
    </row>
    <row r="241" ht="14.25" customHeight="1">
      <c r="A241" s="49" t="s">
        <v>84</v>
      </c>
      <c r="B241" s="49">
        <v>1.0</v>
      </c>
      <c r="C241" s="22"/>
      <c r="D241" s="22"/>
      <c r="E241" s="22"/>
      <c r="F241" s="22"/>
      <c r="G241" s="22"/>
      <c r="H241" s="22"/>
    </row>
    <row r="242" ht="14.25" customHeight="1">
      <c r="A242" s="22"/>
      <c r="B242" s="22"/>
      <c r="C242" s="22"/>
      <c r="D242" s="22"/>
      <c r="E242" s="22"/>
      <c r="F242" s="22"/>
      <c r="G242" s="22"/>
      <c r="H242" s="22"/>
    </row>
    <row r="243" ht="14.25" customHeight="1">
      <c r="A243" s="97" t="s">
        <v>127</v>
      </c>
      <c r="B243" s="98">
        <v>215800.0</v>
      </c>
      <c r="C243" s="22"/>
      <c r="D243" s="22"/>
      <c r="E243" s="22"/>
      <c r="F243" s="22"/>
      <c r="G243" s="22"/>
      <c r="H243" s="22"/>
    </row>
    <row r="244" ht="14.25" customHeight="1">
      <c r="A244" s="97" t="s">
        <v>129</v>
      </c>
      <c r="B244" s="98">
        <v>0.0</v>
      </c>
      <c r="C244" s="22"/>
      <c r="D244" s="22"/>
      <c r="E244" s="22"/>
      <c r="F244" s="22"/>
      <c r="G244" s="22"/>
      <c r="H244" s="22"/>
    </row>
    <row r="245" ht="14.25" customHeight="1">
      <c r="A245" s="97" t="s">
        <v>131</v>
      </c>
      <c r="B245" s="98">
        <v>0.0</v>
      </c>
      <c r="C245" s="22"/>
      <c r="D245" s="22"/>
      <c r="E245" s="22"/>
      <c r="F245" s="22"/>
      <c r="G245" s="22"/>
      <c r="H245" s="22"/>
    </row>
    <row r="246" ht="14.25" customHeight="1">
      <c r="A246" s="97" t="s">
        <v>132</v>
      </c>
      <c r="B246" s="98">
        <v>0.0</v>
      </c>
      <c r="C246" s="22"/>
      <c r="D246" s="22"/>
      <c r="E246" s="22"/>
      <c r="F246" s="22"/>
      <c r="G246" s="22"/>
      <c r="H246" s="22"/>
    </row>
    <row r="247" ht="14.25" customHeight="1">
      <c r="A247" s="22"/>
      <c r="B247" s="22"/>
      <c r="C247" s="22"/>
      <c r="D247" s="22"/>
      <c r="E247" s="22"/>
      <c r="F247" s="22"/>
      <c r="G247" s="22"/>
      <c r="H247" s="22"/>
    </row>
    <row r="248" ht="14.25" customHeight="1">
      <c r="A248" s="54" t="s">
        <v>7</v>
      </c>
      <c r="B248" s="55">
        <f>SUM(B243:B246)</f>
        <v>215800</v>
      </c>
      <c r="C248" s="22"/>
      <c r="D248" s="22"/>
      <c r="E248" s="22"/>
      <c r="F248" s="22"/>
      <c r="G248" s="22"/>
      <c r="H248" s="22"/>
    </row>
    <row r="249" ht="14.25" customHeight="1">
      <c r="A249" s="99" t="s">
        <v>0</v>
      </c>
      <c r="B249" s="100">
        <v>3600.0</v>
      </c>
      <c r="C249" s="60">
        <v>1.0</v>
      </c>
      <c r="D249" s="22"/>
      <c r="E249" s="22"/>
      <c r="F249" s="22"/>
      <c r="G249" s="22"/>
      <c r="H249" s="22"/>
    </row>
    <row r="250" ht="14.25" customHeight="1">
      <c r="A250" s="22"/>
      <c r="B250" s="22"/>
      <c r="C250" s="22"/>
      <c r="D250" s="22"/>
      <c r="E250" s="22"/>
      <c r="F250" s="22"/>
      <c r="G250" s="22"/>
      <c r="H250" s="22"/>
    </row>
    <row r="251" ht="14.25" customHeight="1">
      <c r="A251" s="4" t="s">
        <v>1</v>
      </c>
      <c r="B251" s="9">
        <v>46207.0</v>
      </c>
      <c r="C251" s="22"/>
      <c r="D251" s="22"/>
      <c r="E251" s="22"/>
      <c r="F251" s="22"/>
      <c r="G251" s="22"/>
      <c r="H251" s="22"/>
    </row>
    <row r="252" ht="14.25" customHeight="1">
      <c r="A252" s="14" t="s">
        <v>3</v>
      </c>
      <c r="B252" s="101">
        <f>E213</f>
        <v>15.52</v>
      </c>
      <c r="C252" s="22"/>
      <c r="D252" s="22"/>
      <c r="E252" s="22"/>
      <c r="F252" s="22"/>
      <c r="G252" s="22"/>
      <c r="H252" s="22"/>
    </row>
    <row r="253" ht="14.25" customHeight="1">
      <c r="A253" s="14" t="s">
        <v>4</v>
      </c>
      <c r="B253" s="102">
        <f>B252*B249</f>
        <v>55872</v>
      </c>
      <c r="C253" s="22"/>
      <c r="D253" s="22"/>
      <c r="E253" s="22"/>
      <c r="F253" s="22"/>
      <c r="G253" s="22"/>
      <c r="H253" s="22"/>
    </row>
    <row r="254" ht="14.25" customHeight="1">
      <c r="A254" s="14" t="s">
        <v>5</v>
      </c>
      <c r="B254" s="103">
        <f>H213</f>
        <v>29</v>
      </c>
      <c r="C254" s="22"/>
      <c r="D254" s="22"/>
      <c r="E254" s="22"/>
      <c r="F254" s="22"/>
      <c r="G254" s="22"/>
      <c r="H254" s="22"/>
    </row>
    <row r="255" ht="14.25" customHeight="1">
      <c r="A255" s="14" t="s">
        <v>6</v>
      </c>
      <c r="B255" s="102">
        <f>B253/B254</f>
        <v>1926.62069</v>
      </c>
      <c r="C255" s="22"/>
      <c r="D255" s="22"/>
      <c r="E255" s="22"/>
      <c r="F255" s="22"/>
      <c r="G255" s="22"/>
      <c r="H255" s="22"/>
    </row>
    <row r="256" ht="14.25" customHeight="1">
      <c r="A256" s="14" t="s">
        <v>7</v>
      </c>
      <c r="B256" s="104">
        <f>B248</f>
        <v>215800</v>
      </c>
      <c r="C256" s="22"/>
      <c r="D256" s="22"/>
      <c r="E256" s="22"/>
      <c r="F256" s="22"/>
      <c r="G256" s="22"/>
      <c r="H256" s="22"/>
    </row>
    <row r="257" ht="14.25" customHeight="1">
      <c r="A257" s="14" t="s">
        <v>9</v>
      </c>
      <c r="B257" s="25">
        <f>(B253*C249)/B256</f>
        <v>0.2589063948</v>
      </c>
      <c r="C257" s="22"/>
      <c r="D257" s="22"/>
      <c r="E257" s="22"/>
      <c r="F257" s="22"/>
      <c r="G257" s="22"/>
      <c r="H257" s="22"/>
    </row>
    <row r="258" ht="14.25" customHeight="1">
      <c r="A258" s="14" t="s">
        <v>18</v>
      </c>
      <c r="B258" s="105">
        <f>B256/B253</f>
        <v>3.862399771</v>
      </c>
      <c r="C258" s="22"/>
      <c r="D258" s="22"/>
      <c r="E258" s="22"/>
      <c r="F258" s="22"/>
      <c r="G258" s="22"/>
      <c r="H258" s="22"/>
    </row>
    <row r="259" ht="14.25" customHeight="1">
      <c r="A259" s="14" t="s">
        <v>22</v>
      </c>
      <c r="B259" s="104">
        <f>AVERAGE(B256)</f>
        <v>215800</v>
      </c>
      <c r="C259" s="22"/>
      <c r="D259" s="22"/>
      <c r="E259" s="22"/>
      <c r="F259" s="22"/>
      <c r="G259" s="22"/>
      <c r="H259" s="22"/>
    </row>
    <row r="260" ht="14.25" customHeight="1">
      <c r="A260" s="14" t="s">
        <v>29</v>
      </c>
      <c r="B260" s="106">
        <f>(B255/B253)*C249</f>
        <v>0.03448275862</v>
      </c>
      <c r="C260" s="22"/>
      <c r="D260" s="22"/>
      <c r="E260" s="22"/>
      <c r="F260" s="22"/>
      <c r="G260" s="22"/>
      <c r="H260" s="22"/>
    </row>
    <row r="261" ht="14.25" customHeight="1"/>
    <row r="262" ht="14.25" customHeight="1"/>
    <row r="263" ht="14.25" customHeight="1">
      <c r="A263" s="20" t="s">
        <v>167</v>
      </c>
      <c r="B263" s="22"/>
      <c r="C263" s="22"/>
      <c r="D263" s="22"/>
      <c r="E263" s="22"/>
      <c r="F263" s="22"/>
      <c r="G263" s="22"/>
      <c r="H263" s="22"/>
    </row>
    <row r="264" ht="14.25" customHeight="1">
      <c r="A264" s="69" t="s">
        <v>36</v>
      </c>
      <c r="B264" s="69" t="s">
        <v>39</v>
      </c>
      <c r="C264" s="69" t="s">
        <v>42</v>
      </c>
      <c r="D264" s="69" t="s">
        <v>44</v>
      </c>
      <c r="E264" s="69" t="s">
        <v>45</v>
      </c>
      <c r="F264" s="69" t="s">
        <v>46</v>
      </c>
      <c r="G264" s="69" t="s">
        <v>47</v>
      </c>
      <c r="H264" s="69" t="s">
        <v>111</v>
      </c>
    </row>
    <row r="265" ht="14.25" customHeight="1">
      <c r="A265" s="22" t="s">
        <v>168</v>
      </c>
      <c r="B265" s="22" t="s">
        <v>168</v>
      </c>
      <c r="C265" s="22" t="s">
        <v>50</v>
      </c>
      <c r="D265" s="22">
        <v>0.506</v>
      </c>
      <c r="E265" s="22">
        <v>7.59</v>
      </c>
      <c r="F265" s="22">
        <v>5159.0</v>
      </c>
      <c r="G265" s="22">
        <v>4122.0</v>
      </c>
      <c r="H265" s="22">
        <v>15.0</v>
      </c>
    </row>
    <row r="266" ht="14.25" customHeight="1">
      <c r="A266" s="22" t="s">
        <v>168</v>
      </c>
      <c r="B266" s="22" t="s">
        <v>168</v>
      </c>
      <c r="C266" s="22" t="s">
        <v>56</v>
      </c>
      <c r="D266" s="22">
        <v>0.3</v>
      </c>
      <c r="E266" s="22">
        <v>1.5</v>
      </c>
      <c r="F266" s="22">
        <v>2584.0</v>
      </c>
      <c r="G266" s="22">
        <v>2564.0</v>
      </c>
      <c r="H266" s="22">
        <v>5.0</v>
      </c>
    </row>
    <row r="267" ht="14.25" customHeight="1">
      <c r="A267" s="22" t="s">
        <v>168</v>
      </c>
      <c r="B267" s="22" t="s">
        <v>168</v>
      </c>
      <c r="C267" s="22" t="s">
        <v>59</v>
      </c>
      <c r="D267" s="22">
        <v>0.705</v>
      </c>
      <c r="E267" s="22">
        <v>1.41</v>
      </c>
      <c r="F267" s="22">
        <v>2553.0</v>
      </c>
      <c r="G267" s="22">
        <v>2525.0</v>
      </c>
      <c r="H267" s="22">
        <v>2.0</v>
      </c>
    </row>
    <row r="268" ht="14.25" customHeight="1">
      <c r="A268" s="22" t="s">
        <v>168</v>
      </c>
      <c r="B268" s="22" t="s">
        <v>168</v>
      </c>
      <c r="C268" s="22" t="s">
        <v>61</v>
      </c>
      <c r="D268" s="22">
        <v>1.6</v>
      </c>
      <c r="E268" s="22">
        <v>1.6</v>
      </c>
      <c r="F268" s="22">
        <v>1333.0</v>
      </c>
      <c r="G268" s="22">
        <v>1326.0</v>
      </c>
      <c r="H268" s="22">
        <v>1.0</v>
      </c>
    </row>
    <row r="269" ht="14.25" customHeight="1">
      <c r="A269" s="22"/>
      <c r="B269" s="22"/>
      <c r="C269" s="22"/>
      <c r="D269" s="111" t="s">
        <v>65</v>
      </c>
      <c r="E269" s="111">
        <f>SUM(E265:E268)</f>
        <v>12.1</v>
      </c>
      <c r="F269" s="22"/>
      <c r="G269" s="22"/>
      <c r="H269" s="69">
        <f>SUM(H265:H268)</f>
        <v>23</v>
      </c>
    </row>
    <row r="270" ht="14.25" customHeight="1">
      <c r="A270" s="22"/>
      <c r="B270" s="22"/>
      <c r="C270" s="22"/>
      <c r="D270" s="22"/>
      <c r="E270" s="22"/>
      <c r="F270" s="22"/>
      <c r="G270" s="22"/>
      <c r="H270" s="22"/>
    </row>
    <row r="271" ht="14.25" customHeight="1">
      <c r="A271" s="34" t="s">
        <v>66</v>
      </c>
      <c r="B271" s="22"/>
      <c r="C271" s="22"/>
      <c r="D271" s="22"/>
      <c r="E271" s="22"/>
      <c r="F271" s="22"/>
      <c r="G271" s="22"/>
      <c r="H271" s="22"/>
    </row>
    <row r="272" ht="14.25" customHeight="1">
      <c r="A272" s="69" t="s">
        <v>67</v>
      </c>
      <c r="B272" s="69" t="s">
        <v>68</v>
      </c>
      <c r="C272" s="22"/>
      <c r="D272" s="22"/>
      <c r="E272" s="22"/>
      <c r="F272" s="22"/>
      <c r="G272" s="22"/>
      <c r="H272" s="22"/>
    </row>
    <row r="273" ht="14.25" customHeight="1">
      <c r="A273" s="22" t="s">
        <v>121</v>
      </c>
      <c r="B273" s="22">
        <v>10.0</v>
      </c>
      <c r="C273" s="22"/>
      <c r="D273" s="22"/>
      <c r="E273" s="22"/>
      <c r="F273" s="22"/>
      <c r="G273" s="22"/>
      <c r="H273" s="22"/>
    </row>
    <row r="274" ht="14.25" customHeight="1">
      <c r="A274" s="22" t="s">
        <v>122</v>
      </c>
      <c r="B274" s="22">
        <v>10.0</v>
      </c>
      <c r="C274" s="22"/>
      <c r="D274" s="22"/>
      <c r="E274" s="22"/>
      <c r="F274" s="22"/>
      <c r="G274" s="22"/>
      <c r="H274" s="22"/>
    </row>
    <row r="275" ht="14.25" customHeight="1">
      <c r="A275" s="22" t="s">
        <v>120</v>
      </c>
      <c r="B275" s="22">
        <v>7.0</v>
      </c>
      <c r="C275" s="22"/>
      <c r="D275" s="22"/>
      <c r="E275" s="22"/>
      <c r="F275" s="22"/>
      <c r="G275" s="22"/>
      <c r="H275" s="22"/>
    </row>
    <row r="276" ht="14.25" customHeight="1">
      <c r="A276" s="22"/>
      <c r="B276" s="69">
        <f>SUM(B273:B275)</f>
        <v>27</v>
      </c>
      <c r="C276" s="22"/>
      <c r="D276" s="22"/>
      <c r="E276" s="22"/>
      <c r="F276" s="22"/>
      <c r="G276" s="22"/>
      <c r="H276" s="22"/>
    </row>
    <row r="277" ht="14.25" customHeight="1">
      <c r="A277" s="22"/>
      <c r="B277" s="22"/>
      <c r="C277" s="22"/>
      <c r="D277" s="22"/>
      <c r="E277" s="22"/>
      <c r="F277" s="22"/>
      <c r="G277" s="22"/>
      <c r="H277" s="22"/>
    </row>
    <row r="278" ht="14.25" customHeight="1">
      <c r="A278" s="34" t="s">
        <v>72</v>
      </c>
      <c r="B278" s="22"/>
      <c r="C278" s="22"/>
      <c r="D278" s="22"/>
      <c r="E278" s="22"/>
      <c r="F278" s="22"/>
      <c r="G278" s="22"/>
      <c r="H278" s="22"/>
    </row>
    <row r="279" ht="14.25" customHeight="1">
      <c r="A279" s="69" t="s">
        <v>67</v>
      </c>
      <c r="B279" s="69" t="s">
        <v>73</v>
      </c>
      <c r="C279" s="69" t="s">
        <v>74</v>
      </c>
      <c r="D279" s="69" t="s">
        <v>75</v>
      </c>
      <c r="E279" s="69" t="s">
        <v>68</v>
      </c>
      <c r="F279" s="22"/>
      <c r="G279" s="22"/>
      <c r="H279" s="22"/>
    </row>
    <row r="280" ht="14.25" customHeight="1">
      <c r="A280" s="22" t="s">
        <v>121</v>
      </c>
      <c r="B280" s="22">
        <v>6.0</v>
      </c>
      <c r="C280" s="22">
        <v>6.0</v>
      </c>
      <c r="D280" s="22">
        <v>2.0</v>
      </c>
      <c r="E280" s="22">
        <v>14.0</v>
      </c>
      <c r="F280" s="22"/>
      <c r="G280" s="22"/>
      <c r="H280" s="22"/>
    </row>
    <row r="281" ht="14.25" customHeight="1">
      <c r="A281" s="22" t="s">
        <v>122</v>
      </c>
      <c r="B281" s="22">
        <v>9.0</v>
      </c>
      <c r="C281" s="22">
        <v>2.0</v>
      </c>
      <c r="D281" s="22">
        <v>0.0</v>
      </c>
      <c r="E281" s="22">
        <v>11.0</v>
      </c>
      <c r="F281" s="22"/>
      <c r="G281" s="22"/>
      <c r="H281" s="22"/>
    </row>
    <row r="282" ht="14.25" customHeight="1">
      <c r="A282" s="22" t="s">
        <v>120</v>
      </c>
      <c r="B282" s="22">
        <v>4.0</v>
      </c>
      <c r="C282" s="22">
        <v>0.0</v>
      </c>
      <c r="D282" s="22">
        <v>0.0</v>
      </c>
      <c r="E282" s="22">
        <v>4.0</v>
      </c>
      <c r="F282" s="22"/>
      <c r="G282" s="22"/>
      <c r="H282" s="22"/>
    </row>
    <row r="283" ht="14.25" customHeight="1">
      <c r="A283" s="22" t="s">
        <v>130</v>
      </c>
      <c r="B283" s="22">
        <v>4.0</v>
      </c>
      <c r="C283" s="22">
        <v>0.0</v>
      </c>
      <c r="D283" s="22">
        <v>0.0</v>
      </c>
      <c r="E283" s="22">
        <v>4.0</v>
      </c>
      <c r="F283" s="22"/>
      <c r="G283" s="22"/>
      <c r="H283" s="22"/>
    </row>
    <row r="284" ht="14.25" customHeight="1">
      <c r="A284" s="22"/>
      <c r="B284" s="22"/>
      <c r="C284" s="22"/>
      <c r="D284" s="22"/>
      <c r="E284" s="22"/>
      <c r="F284" s="22"/>
      <c r="G284" s="22"/>
      <c r="H284" s="22"/>
    </row>
    <row r="285" ht="14.25" customHeight="1">
      <c r="A285" s="34" t="s">
        <v>77</v>
      </c>
      <c r="B285" s="22"/>
      <c r="C285" s="22"/>
      <c r="D285" s="22"/>
      <c r="E285" s="22"/>
      <c r="F285" s="22"/>
      <c r="G285" s="22"/>
      <c r="H285" s="22"/>
    </row>
    <row r="286" ht="14.25" customHeight="1">
      <c r="A286" s="112" t="s">
        <v>79</v>
      </c>
      <c r="B286" s="112" t="s">
        <v>5</v>
      </c>
      <c r="C286" s="22"/>
      <c r="D286" s="22"/>
      <c r="E286" s="22"/>
      <c r="F286" s="22"/>
      <c r="G286" s="22"/>
      <c r="H286" s="22"/>
    </row>
    <row r="287" ht="14.25" customHeight="1">
      <c r="A287" s="49" t="s">
        <v>158</v>
      </c>
      <c r="B287" s="49">
        <v>8.0</v>
      </c>
      <c r="C287" s="22"/>
      <c r="D287" s="22"/>
      <c r="E287" s="22"/>
      <c r="F287" s="22"/>
      <c r="G287" s="22"/>
      <c r="H287" s="22"/>
    </row>
    <row r="288" ht="14.25" customHeight="1">
      <c r="A288" s="49" t="s">
        <v>133</v>
      </c>
      <c r="B288" s="49">
        <v>8.0</v>
      </c>
      <c r="C288" s="22"/>
      <c r="D288" s="22"/>
      <c r="E288" s="22"/>
      <c r="F288" s="22"/>
      <c r="G288" s="22"/>
      <c r="H288" s="22"/>
    </row>
    <row r="289" ht="14.25" customHeight="1">
      <c r="A289" s="49" t="s">
        <v>86</v>
      </c>
      <c r="B289" s="49">
        <v>4.0</v>
      </c>
      <c r="C289" s="22"/>
      <c r="D289" s="22"/>
      <c r="E289" s="22"/>
      <c r="F289" s="22"/>
      <c r="G289" s="22"/>
      <c r="H289" s="22"/>
    </row>
    <row r="290" ht="14.25" customHeight="1">
      <c r="A290" s="49" t="s">
        <v>126</v>
      </c>
      <c r="B290" s="49">
        <v>3.0</v>
      </c>
      <c r="C290" s="22"/>
      <c r="D290" s="22"/>
      <c r="E290" s="22"/>
      <c r="F290" s="22"/>
      <c r="G290" s="22"/>
      <c r="H290" s="22"/>
    </row>
    <row r="291" ht="14.25" customHeight="1">
      <c r="A291" s="49" t="s">
        <v>88</v>
      </c>
      <c r="B291" s="49">
        <v>2.0</v>
      </c>
      <c r="C291" s="22"/>
      <c r="D291" s="22"/>
      <c r="E291" s="22"/>
      <c r="F291" s="22"/>
      <c r="G291" s="22"/>
      <c r="H291" s="22"/>
    </row>
    <row r="292" ht="14.25" customHeight="1">
      <c r="A292" s="49" t="s">
        <v>83</v>
      </c>
      <c r="B292" s="49">
        <v>1.0</v>
      </c>
      <c r="C292" s="22"/>
      <c r="D292" s="22"/>
      <c r="E292" s="22"/>
      <c r="F292" s="22"/>
      <c r="G292" s="22"/>
      <c r="H292" s="22"/>
    </row>
    <row r="293" ht="14.25" customHeight="1">
      <c r="A293" s="49" t="s">
        <v>84</v>
      </c>
      <c r="B293" s="49">
        <v>1.0</v>
      </c>
      <c r="C293" s="22"/>
      <c r="D293" s="22"/>
      <c r="E293" s="22"/>
      <c r="F293" s="22"/>
      <c r="G293" s="22"/>
      <c r="H293" s="22"/>
    </row>
    <row r="294" ht="14.25" customHeight="1">
      <c r="A294" s="22"/>
      <c r="B294" s="22"/>
      <c r="C294" s="22"/>
      <c r="D294" s="22"/>
      <c r="E294" s="22"/>
      <c r="F294" s="22"/>
      <c r="G294" s="22"/>
      <c r="H294" s="22"/>
    </row>
    <row r="295" ht="14.25" customHeight="1">
      <c r="A295" s="97" t="s">
        <v>127</v>
      </c>
      <c r="B295" s="98">
        <v>0.0</v>
      </c>
      <c r="C295" s="22"/>
      <c r="D295" s="22"/>
      <c r="E295" s="22"/>
      <c r="F295" s="22"/>
      <c r="G295" s="22"/>
      <c r="H295" s="22"/>
    </row>
    <row r="296" ht="14.25" customHeight="1">
      <c r="A296" s="97" t="s">
        <v>129</v>
      </c>
      <c r="B296" s="98">
        <v>0.0</v>
      </c>
      <c r="C296" s="22"/>
      <c r="D296" s="22"/>
      <c r="E296" s="22"/>
      <c r="F296" s="22"/>
      <c r="G296" s="22"/>
      <c r="H296" s="22"/>
    </row>
    <row r="297" ht="14.25" customHeight="1">
      <c r="A297" s="97" t="s">
        <v>131</v>
      </c>
      <c r="B297" s="98">
        <v>0.0</v>
      </c>
      <c r="C297" s="22"/>
      <c r="D297" s="22"/>
      <c r="E297" s="22"/>
      <c r="F297" s="22"/>
      <c r="G297" s="22"/>
      <c r="H297" s="22"/>
    </row>
    <row r="298" ht="14.25" customHeight="1">
      <c r="A298" s="97" t="s">
        <v>132</v>
      </c>
      <c r="B298" s="98">
        <v>0.0</v>
      </c>
      <c r="C298" s="22"/>
      <c r="D298" s="22"/>
      <c r="E298" s="22"/>
      <c r="F298" s="22"/>
      <c r="G298" s="22"/>
      <c r="H298" s="22"/>
    </row>
    <row r="299" ht="14.25" customHeight="1">
      <c r="A299" s="22"/>
      <c r="B299" s="22"/>
      <c r="C299" s="22"/>
      <c r="D299" s="22"/>
      <c r="E299" s="22"/>
      <c r="F299" s="22"/>
      <c r="G299" s="22"/>
      <c r="H299" s="22"/>
    </row>
    <row r="300" ht="14.25" customHeight="1">
      <c r="A300" s="54" t="s">
        <v>7</v>
      </c>
      <c r="B300" s="55">
        <v>0.0</v>
      </c>
      <c r="C300" s="22"/>
      <c r="D300" s="22"/>
      <c r="E300" s="22"/>
      <c r="F300" s="22"/>
      <c r="G300" s="22"/>
      <c r="H300" s="22"/>
    </row>
    <row r="301" ht="14.25" customHeight="1">
      <c r="A301" s="99" t="s">
        <v>0</v>
      </c>
      <c r="B301" s="100">
        <v>3600.0</v>
      </c>
      <c r="C301" s="60">
        <v>1.0</v>
      </c>
      <c r="D301" s="22"/>
      <c r="E301" s="22"/>
      <c r="F301" s="22"/>
      <c r="G301" s="22"/>
      <c r="H301" s="22"/>
    </row>
    <row r="302" ht="14.25" customHeight="1">
      <c r="A302" s="22"/>
      <c r="B302" s="22"/>
      <c r="C302" s="22"/>
      <c r="D302" s="22"/>
      <c r="E302" s="22"/>
      <c r="F302" s="22"/>
      <c r="G302" s="22"/>
      <c r="H302" s="22"/>
    </row>
    <row r="303" ht="14.25" customHeight="1">
      <c r="A303" s="4" t="s">
        <v>1</v>
      </c>
      <c r="B303" s="9">
        <v>46208.0</v>
      </c>
      <c r="C303" s="22"/>
      <c r="D303" s="22"/>
      <c r="E303" s="22"/>
      <c r="F303" s="22"/>
      <c r="G303" s="22"/>
      <c r="H303" s="22"/>
    </row>
    <row r="304" ht="14.25" customHeight="1">
      <c r="A304" s="14" t="s">
        <v>3</v>
      </c>
      <c r="B304" s="101">
        <f>E269</f>
        <v>12.1</v>
      </c>
      <c r="C304" s="22"/>
      <c r="D304" s="22"/>
      <c r="E304" s="22"/>
      <c r="F304" s="22"/>
      <c r="G304" s="22"/>
      <c r="H304" s="22"/>
    </row>
    <row r="305" ht="14.25" customHeight="1">
      <c r="A305" s="14" t="s">
        <v>4</v>
      </c>
      <c r="B305" s="102">
        <f>B304*B301</f>
        <v>43560</v>
      </c>
      <c r="C305" s="22"/>
      <c r="D305" s="22"/>
      <c r="E305" s="22"/>
      <c r="F305" s="22"/>
      <c r="G305" s="22"/>
      <c r="H305" s="22"/>
    </row>
    <row r="306" ht="14.25" customHeight="1">
      <c r="A306" s="14" t="s">
        <v>5</v>
      </c>
      <c r="B306" s="103">
        <f>H269</f>
        <v>23</v>
      </c>
      <c r="C306" s="22"/>
      <c r="D306" s="22"/>
      <c r="E306" s="22"/>
      <c r="F306" s="22"/>
      <c r="G306" s="22"/>
      <c r="H306" s="22"/>
    </row>
    <row r="307" ht="14.25" customHeight="1">
      <c r="A307" s="14" t="s">
        <v>6</v>
      </c>
      <c r="B307" s="102">
        <f>B305/B306</f>
        <v>1893.913043</v>
      </c>
      <c r="C307" s="22"/>
      <c r="D307" s="22"/>
      <c r="E307" s="22"/>
      <c r="F307" s="22"/>
      <c r="G307" s="22"/>
      <c r="H307" s="22"/>
    </row>
    <row r="308" ht="14.25" customHeight="1">
      <c r="A308" s="14" t="s">
        <v>7</v>
      </c>
      <c r="B308" s="104">
        <f>B300</f>
        <v>0</v>
      </c>
      <c r="C308" s="22"/>
      <c r="D308" s="22"/>
      <c r="E308" s="22"/>
      <c r="F308" s="22"/>
      <c r="G308" s="22"/>
      <c r="H308" s="22"/>
    </row>
    <row r="309" ht="14.25" customHeight="1">
      <c r="A309" s="14" t="s">
        <v>9</v>
      </c>
      <c r="B309" s="25" t="str">
        <f>(B305*$C$57)/B308</f>
        <v>#DIV/0!</v>
      </c>
      <c r="C309" s="22"/>
      <c r="D309" s="22"/>
      <c r="E309" s="22"/>
      <c r="F309" s="22"/>
      <c r="G309" s="22"/>
      <c r="H309" s="22"/>
    </row>
    <row r="310" ht="14.25" customHeight="1">
      <c r="A310" s="14" t="s">
        <v>18</v>
      </c>
      <c r="B310" s="105">
        <f>B308/B305</f>
        <v>0</v>
      </c>
      <c r="C310" s="22"/>
      <c r="D310" s="22"/>
      <c r="E310" s="22"/>
      <c r="F310" s="22"/>
      <c r="G310" s="22"/>
      <c r="H310" s="22"/>
    </row>
    <row r="311" ht="14.25" customHeight="1">
      <c r="A311" s="14" t="s">
        <v>22</v>
      </c>
      <c r="B311" s="104">
        <f>AVERAGE(B308)</f>
        <v>0</v>
      </c>
      <c r="C311" s="22"/>
      <c r="D311" s="22"/>
      <c r="E311" s="22"/>
      <c r="F311" s="22"/>
      <c r="G311" s="22"/>
      <c r="H311" s="22"/>
    </row>
    <row r="312" ht="14.25" customHeight="1">
      <c r="A312" s="14" t="s">
        <v>29</v>
      </c>
      <c r="B312" s="106">
        <f>(B307/B305)*C301</f>
        <v>0.04347826087</v>
      </c>
      <c r="C312" s="22"/>
      <c r="D312" s="22"/>
      <c r="E312" s="22"/>
      <c r="F312" s="22"/>
      <c r="G312" s="22"/>
      <c r="H312" s="22"/>
    </row>
    <row r="313" ht="14.25" customHeight="1"/>
    <row r="314" ht="14.25" customHeight="1">
      <c r="A314" s="114" t="s">
        <v>171</v>
      </c>
      <c r="B314" s="78"/>
      <c r="C314" s="78"/>
      <c r="D314" s="78"/>
      <c r="E314" s="78"/>
      <c r="F314" s="78"/>
      <c r="G314" s="78"/>
      <c r="H314" s="78"/>
    </row>
    <row r="315" ht="14.25" customHeight="1">
      <c r="A315" s="115" t="s">
        <v>36</v>
      </c>
      <c r="B315" s="115" t="s">
        <v>39</v>
      </c>
      <c r="C315" s="115" t="s">
        <v>42</v>
      </c>
      <c r="D315" s="115" t="s">
        <v>44</v>
      </c>
      <c r="E315" s="115" t="s">
        <v>45</v>
      </c>
      <c r="F315" s="115" t="s">
        <v>46</v>
      </c>
      <c r="G315" s="115" t="s">
        <v>47</v>
      </c>
      <c r="H315" s="115" t="s">
        <v>111</v>
      </c>
    </row>
    <row r="316" ht="14.25" customHeight="1">
      <c r="A316" s="116">
        <v>46209.0</v>
      </c>
      <c r="B316" s="116">
        <v>46209.0</v>
      </c>
      <c r="C316" s="80" t="s">
        <v>50</v>
      </c>
      <c r="D316" s="81">
        <v>0.789</v>
      </c>
      <c r="E316" s="81">
        <v>7.89</v>
      </c>
      <c r="F316" s="81">
        <v>6093.0</v>
      </c>
      <c r="G316" s="81">
        <v>4992.0</v>
      </c>
      <c r="H316" s="81">
        <v>11.0</v>
      </c>
    </row>
    <row r="317" ht="14.25" customHeight="1">
      <c r="A317" s="116">
        <v>46209.0</v>
      </c>
      <c r="B317" s="116">
        <v>46209.0</v>
      </c>
      <c r="C317" s="80" t="s">
        <v>56</v>
      </c>
      <c r="D317" s="81">
        <v>0.4075</v>
      </c>
      <c r="E317" s="81">
        <v>1.63</v>
      </c>
      <c r="F317" s="81">
        <v>3583.0</v>
      </c>
      <c r="G317" s="81">
        <v>3539.0</v>
      </c>
      <c r="H317" s="81">
        <v>4.0</v>
      </c>
    </row>
    <row r="318" ht="14.25" customHeight="1">
      <c r="A318" s="116">
        <v>46209.0</v>
      </c>
      <c r="B318" s="116">
        <v>46209.0</v>
      </c>
      <c r="C318" s="80" t="s">
        <v>59</v>
      </c>
      <c r="D318" s="81">
        <v>0.815</v>
      </c>
      <c r="E318" s="81">
        <v>1.63</v>
      </c>
      <c r="F318" s="81">
        <v>2996.0</v>
      </c>
      <c r="G318" s="81">
        <v>2890.0</v>
      </c>
      <c r="H318" s="81">
        <v>2.0</v>
      </c>
    </row>
    <row r="319" ht="14.25" customHeight="1">
      <c r="A319" s="116">
        <v>46209.0</v>
      </c>
      <c r="B319" s="116">
        <v>46209.0</v>
      </c>
      <c r="C319" s="80" t="s">
        <v>61</v>
      </c>
      <c r="D319" s="81">
        <v>0.61</v>
      </c>
      <c r="E319" s="81">
        <v>1.83</v>
      </c>
      <c r="F319" s="81">
        <v>1787.0</v>
      </c>
      <c r="G319" s="81">
        <v>1763.0</v>
      </c>
      <c r="H319" s="81">
        <v>3.0</v>
      </c>
    </row>
    <row r="320" ht="14.25" customHeight="1">
      <c r="A320" s="116">
        <v>46209.0</v>
      </c>
      <c r="B320" s="116">
        <v>46209.0</v>
      </c>
      <c r="C320" s="80" t="s">
        <v>63</v>
      </c>
      <c r="D320" s="81">
        <v>0.905</v>
      </c>
      <c r="E320" s="81">
        <v>1.81</v>
      </c>
      <c r="F320" s="81">
        <v>2647.0</v>
      </c>
      <c r="G320" s="81">
        <v>2575.0</v>
      </c>
      <c r="H320" s="81">
        <v>2.0</v>
      </c>
    </row>
    <row r="321" ht="14.25" customHeight="1">
      <c r="A321" s="78"/>
      <c r="B321" s="78"/>
      <c r="C321" s="78"/>
      <c r="D321" s="117" t="s">
        <v>65</v>
      </c>
      <c r="E321" s="117">
        <v>14.79</v>
      </c>
      <c r="F321" s="78"/>
      <c r="G321" s="78"/>
      <c r="H321" s="117">
        <v>22.0</v>
      </c>
    </row>
    <row r="322" ht="14.25" customHeight="1">
      <c r="A322" s="78"/>
      <c r="B322" s="78"/>
      <c r="C322" s="78"/>
      <c r="D322" s="78"/>
      <c r="E322" s="78"/>
      <c r="F322" s="78"/>
      <c r="G322" s="78"/>
      <c r="H322" s="78"/>
    </row>
    <row r="323" ht="14.25" customHeight="1">
      <c r="A323" s="118" t="s">
        <v>66</v>
      </c>
      <c r="B323" s="78"/>
      <c r="C323" s="78"/>
      <c r="D323" s="78"/>
      <c r="E323" s="78"/>
      <c r="F323" s="78"/>
      <c r="G323" s="78"/>
      <c r="H323" s="78"/>
    </row>
    <row r="324" ht="14.25" customHeight="1">
      <c r="A324" s="115" t="s">
        <v>67</v>
      </c>
      <c r="B324" s="115" t="s">
        <v>68</v>
      </c>
      <c r="C324" s="78"/>
      <c r="D324" s="78"/>
      <c r="E324" s="78"/>
      <c r="F324" s="78"/>
      <c r="G324" s="78"/>
      <c r="H324" s="78"/>
    </row>
    <row r="325" ht="14.25" customHeight="1">
      <c r="A325" s="80" t="s">
        <v>120</v>
      </c>
      <c r="B325" s="81">
        <v>10.0</v>
      </c>
      <c r="C325" s="78"/>
      <c r="D325" s="78"/>
      <c r="E325" s="78"/>
      <c r="F325" s="78"/>
      <c r="G325" s="78"/>
      <c r="H325" s="78"/>
    </row>
    <row r="326" ht="14.25" customHeight="1">
      <c r="A326" s="80" t="s">
        <v>70</v>
      </c>
      <c r="B326" s="81">
        <v>8.0</v>
      </c>
      <c r="C326" s="78"/>
      <c r="D326" s="78"/>
      <c r="E326" s="78"/>
      <c r="F326" s="78"/>
      <c r="G326" s="78"/>
      <c r="H326" s="78"/>
    </row>
    <row r="327" ht="14.25" customHeight="1">
      <c r="A327" s="80" t="s">
        <v>121</v>
      </c>
      <c r="B327" s="81">
        <v>7.0</v>
      </c>
      <c r="C327" s="78"/>
      <c r="D327" s="78"/>
      <c r="E327" s="78"/>
      <c r="F327" s="78"/>
      <c r="G327" s="78"/>
      <c r="H327" s="78"/>
    </row>
    <row r="328" ht="14.25" customHeight="1">
      <c r="A328" s="80" t="s">
        <v>122</v>
      </c>
      <c r="B328" s="81">
        <v>4.0</v>
      </c>
      <c r="C328" s="78"/>
      <c r="D328" s="78"/>
      <c r="E328" s="78"/>
      <c r="F328" s="78"/>
      <c r="G328" s="78"/>
      <c r="H328" s="78"/>
    </row>
    <row r="329" ht="14.25" customHeight="1">
      <c r="A329" s="80" t="s">
        <v>123</v>
      </c>
      <c r="B329" s="81">
        <v>2.0</v>
      </c>
      <c r="C329" s="78"/>
      <c r="D329" s="78"/>
      <c r="E329" s="78"/>
      <c r="F329" s="78"/>
      <c r="G329" s="78"/>
      <c r="H329" s="78"/>
    </row>
    <row r="330" ht="14.25" customHeight="1">
      <c r="A330" s="78"/>
      <c r="B330" s="117">
        <v>31.0</v>
      </c>
      <c r="C330" s="78"/>
      <c r="D330" s="78"/>
      <c r="E330" s="78"/>
      <c r="F330" s="78"/>
      <c r="G330" s="78"/>
      <c r="H330" s="78"/>
    </row>
    <row r="331" ht="14.25" customHeight="1">
      <c r="A331" s="78"/>
      <c r="B331" s="119"/>
      <c r="C331" s="78"/>
      <c r="D331" s="78"/>
      <c r="E331" s="78"/>
      <c r="F331" s="78"/>
      <c r="G331" s="78"/>
      <c r="H331" s="78"/>
    </row>
    <row r="332" ht="14.25" customHeight="1">
      <c r="A332" s="118" t="s">
        <v>72</v>
      </c>
      <c r="B332" s="119"/>
      <c r="C332" s="78"/>
      <c r="D332" s="78"/>
      <c r="E332" s="78"/>
      <c r="F332" s="78"/>
      <c r="G332" s="78"/>
      <c r="H332" s="78"/>
    </row>
    <row r="333" ht="14.25" customHeight="1">
      <c r="A333" s="115" t="s">
        <v>67</v>
      </c>
      <c r="B333" s="115" t="s">
        <v>73</v>
      </c>
      <c r="C333" s="115" t="s">
        <v>74</v>
      </c>
      <c r="D333" s="115" t="s">
        <v>75</v>
      </c>
      <c r="E333" s="115" t="s">
        <v>68</v>
      </c>
      <c r="F333" s="78"/>
      <c r="G333" s="78"/>
      <c r="H333" s="78"/>
    </row>
    <row r="334" ht="14.25" customHeight="1">
      <c r="A334" s="80" t="s">
        <v>70</v>
      </c>
      <c r="B334" s="81">
        <v>32.0</v>
      </c>
      <c r="C334" s="81">
        <v>4.0</v>
      </c>
      <c r="D334" s="81">
        <v>2.0</v>
      </c>
      <c r="E334" s="81">
        <v>38.0</v>
      </c>
      <c r="F334" s="78"/>
      <c r="G334" s="78"/>
      <c r="H334" s="78"/>
    </row>
    <row r="335" ht="14.25" customHeight="1">
      <c r="A335" s="80" t="s">
        <v>120</v>
      </c>
      <c r="B335" s="81">
        <v>9.0</v>
      </c>
      <c r="C335" s="81">
        <v>11.0</v>
      </c>
      <c r="D335" s="81">
        <v>1.0</v>
      </c>
      <c r="E335" s="81">
        <v>21.0</v>
      </c>
      <c r="F335" s="78"/>
      <c r="G335" s="78"/>
      <c r="H335" s="78"/>
    </row>
    <row r="336" ht="14.25" customHeight="1">
      <c r="A336" s="80" t="s">
        <v>125</v>
      </c>
      <c r="B336" s="81">
        <v>4.0</v>
      </c>
      <c r="C336" s="81">
        <v>0.0</v>
      </c>
      <c r="D336" s="81">
        <v>0.0</v>
      </c>
      <c r="E336" s="81">
        <v>4.0</v>
      </c>
      <c r="F336" s="78"/>
      <c r="G336" s="78"/>
      <c r="H336" s="78"/>
    </row>
    <row r="337" ht="14.25" customHeight="1">
      <c r="A337" s="80" t="s">
        <v>123</v>
      </c>
      <c r="B337" s="81">
        <v>3.0</v>
      </c>
      <c r="C337" s="81">
        <v>0.0</v>
      </c>
      <c r="D337" s="81">
        <v>0.0</v>
      </c>
      <c r="E337" s="81">
        <v>3.0</v>
      </c>
      <c r="F337" s="78"/>
      <c r="G337" s="78"/>
      <c r="H337" s="78"/>
    </row>
    <row r="338" ht="14.25" customHeight="1">
      <c r="A338" s="80" t="s">
        <v>130</v>
      </c>
      <c r="B338" s="81">
        <v>3.0</v>
      </c>
      <c r="C338" s="81">
        <v>0.0</v>
      </c>
      <c r="D338" s="81">
        <v>0.0</v>
      </c>
      <c r="E338" s="81">
        <v>3.0</v>
      </c>
      <c r="F338" s="78"/>
      <c r="G338" s="78"/>
      <c r="H338" s="78"/>
    </row>
    <row r="339" ht="14.25" customHeight="1">
      <c r="A339" s="80" t="s">
        <v>153</v>
      </c>
      <c r="B339" s="81">
        <v>0.0</v>
      </c>
      <c r="C339" s="81">
        <v>0.0</v>
      </c>
      <c r="D339" s="81">
        <v>1.0</v>
      </c>
      <c r="E339" s="81">
        <v>1.0</v>
      </c>
      <c r="F339" s="78"/>
      <c r="G339" s="78"/>
      <c r="H339" s="78"/>
    </row>
    <row r="340" ht="14.25" customHeight="1">
      <c r="A340" s="78"/>
      <c r="B340" s="119"/>
      <c r="C340" s="78"/>
      <c r="D340" s="78"/>
      <c r="E340" s="78"/>
      <c r="F340" s="78"/>
      <c r="G340" s="78"/>
      <c r="H340" s="78"/>
    </row>
    <row r="341" ht="14.25" customHeight="1">
      <c r="A341" s="118" t="s">
        <v>77</v>
      </c>
      <c r="B341" s="78"/>
      <c r="C341" s="78"/>
      <c r="D341" s="78"/>
      <c r="E341" s="78"/>
      <c r="F341" s="78"/>
      <c r="G341" s="78"/>
      <c r="H341" s="78"/>
    </row>
    <row r="342" ht="14.25" customHeight="1">
      <c r="A342" s="120" t="s">
        <v>79</v>
      </c>
      <c r="B342" s="120" t="s">
        <v>5</v>
      </c>
      <c r="C342" s="78"/>
      <c r="D342" s="78"/>
      <c r="E342" s="78"/>
      <c r="F342" s="78"/>
      <c r="G342" s="78"/>
      <c r="H342" s="78"/>
    </row>
    <row r="343" ht="14.25" customHeight="1">
      <c r="A343" s="87" t="s">
        <v>86</v>
      </c>
      <c r="B343" s="88">
        <v>7.0</v>
      </c>
      <c r="C343" s="78"/>
      <c r="D343" s="78"/>
      <c r="E343" s="78"/>
      <c r="F343" s="78"/>
      <c r="G343" s="78"/>
      <c r="H343" s="78"/>
    </row>
    <row r="344" ht="14.25" customHeight="1">
      <c r="A344" s="87" t="s">
        <v>133</v>
      </c>
      <c r="B344" s="88">
        <v>6.0</v>
      </c>
      <c r="C344" s="78"/>
      <c r="D344" s="78"/>
      <c r="E344" s="78"/>
      <c r="F344" s="78"/>
      <c r="G344" s="78"/>
      <c r="H344" s="78"/>
    </row>
    <row r="345" ht="14.25" customHeight="1">
      <c r="A345" s="87" t="s">
        <v>126</v>
      </c>
      <c r="B345" s="88">
        <v>4.0</v>
      </c>
      <c r="C345" s="78"/>
      <c r="D345" s="78"/>
      <c r="E345" s="78"/>
      <c r="F345" s="78"/>
      <c r="G345" s="78"/>
      <c r="H345" s="78"/>
    </row>
    <row r="346" ht="14.25" customHeight="1">
      <c r="A346" s="87" t="s">
        <v>88</v>
      </c>
      <c r="B346" s="88">
        <v>4.0</v>
      </c>
      <c r="C346" s="78"/>
      <c r="D346" s="78"/>
      <c r="E346" s="78"/>
      <c r="F346" s="78"/>
      <c r="G346" s="78"/>
      <c r="H346" s="78"/>
    </row>
    <row r="347" ht="14.25" customHeight="1">
      <c r="A347" s="87" t="s">
        <v>83</v>
      </c>
      <c r="B347" s="88">
        <v>3.0</v>
      </c>
      <c r="C347" s="78"/>
      <c r="D347" s="78"/>
      <c r="E347" s="78"/>
      <c r="F347" s="78"/>
      <c r="G347" s="78"/>
      <c r="H347" s="78"/>
    </row>
    <row r="348" ht="14.25" customHeight="1">
      <c r="A348" s="87" t="s">
        <v>84</v>
      </c>
      <c r="B348" s="88">
        <v>2.0</v>
      </c>
      <c r="C348" s="78"/>
      <c r="D348" s="78"/>
      <c r="E348" s="78"/>
      <c r="F348" s="78"/>
      <c r="G348" s="78"/>
      <c r="H348" s="78"/>
    </row>
    <row r="349" ht="14.25" customHeight="1">
      <c r="A349" s="87" t="s">
        <v>174</v>
      </c>
      <c r="B349" s="88">
        <v>1.0</v>
      </c>
      <c r="C349" s="78"/>
      <c r="D349" s="78"/>
      <c r="E349" s="78"/>
      <c r="F349" s="78"/>
      <c r="G349" s="78"/>
      <c r="H349" s="78"/>
    </row>
    <row r="350" ht="14.25" customHeight="1">
      <c r="A350" s="122"/>
      <c r="B350" s="122"/>
      <c r="C350" s="78"/>
      <c r="D350" s="78"/>
      <c r="E350" s="78"/>
      <c r="F350" s="78"/>
      <c r="G350" s="78"/>
      <c r="H350" s="78"/>
    </row>
    <row r="351" ht="14.25" customHeight="1">
      <c r="A351" s="123" t="s">
        <v>127</v>
      </c>
      <c r="B351" s="124" t="s">
        <v>51</v>
      </c>
      <c r="C351" s="78"/>
      <c r="D351" s="78"/>
      <c r="E351" s="78"/>
      <c r="F351" s="78"/>
      <c r="G351" s="78"/>
      <c r="H351" s="78"/>
    </row>
    <row r="352" ht="14.25" customHeight="1">
      <c r="A352" s="123" t="s">
        <v>129</v>
      </c>
      <c r="B352" s="124" t="s">
        <v>54</v>
      </c>
      <c r="C352" s="78"/>
      <c r="D352" s="78"/>
      <c r="E352" s="78"/>
      <c r="F352" s="78"/>
      <c r="G352" s="78"/>
      <c r="H352" s="78"/>
    </row>
    <row r="353" ht="14.25" customHeight="1">
      <c r="A353" s="123" t="s">
        <v>131</v>
      </c>
      <c r="B353" s="124" t="s">
        <v>54</v>
      </c>
      <c r="C353" s="78"/>
      <c r="D353" s="78"/>
      <c r="E353" s="78"/>
      <c r="F353" s="78"/>
      <c r="G353" s="78"/>
      <c r="H353" s="78"/>
    </row>
    <row r="354" ht="14.25" customHeight="1">
      <c r="A354" s="123" t="s">
        <v>132</v>
      </c>
      <c r="B354" s="124" t="s">
        <v>54</v>
      </c>
      <c r="C354" s="78"/>
      <c r="D354" s="78"/>
      <c r="E354" s="78"/>
      <c r="F354" s="78"/>
      <c r="G354" s="78"/>
      <c r="H354" s="78"/>
    </row>
    <row r="355" ht="14.25" customHeight="1">
      <c r="A355" s="78"/>
      <c r="B355" s="78"/>
      <c r="C355" s="78"/>
      <c r="D355" s="78"/>
      <c r="E355" s="78"/>
      <c r="F355" s="78"/>
      <c r="G355" s="78"/>
      <c r="H355" s="78"/>
    </row>
    <row r="356" ht="14.25" customHeight="1">
      <c r="A356" s="125" t="s">
        <v>7</v>
      </c>
      <c r="B356" s="125" t="s">
        <v>51</v>
      </c>
      <c r="C356" s="78"/>
      <c r="D356" s="78"/>
      <c r="E356" s="78"/>
      <c r="F356" s="78"/>
      <c r="G356" s="78"/>
      <c r="H356" s="78"/>
    </row>
    <row r="357" ht="14.25" customHeight="1">
      <c r="A357" s="126" t="s">
        <v>0</v>
      </c>
      <c r="B357" s="126" t="s">
        <v>175</v>
      </c>
      <c r="C357" s="95">
        <v>1.0</v>
      </c>
      <c r="D357" s="78"/>
      <c r="E357" s="78"/>
      <c r="F357" s="78"/>
      <c r="G357" s="78"/>
      <c r="H357" s="78"/>
    </row>
    <row r="358" ht="14.25" customHeight="1">
      <c r="A358" s="78"/>
      <c r="B358" s="78"/>
      <c r="C358" s="78"/>
      <c r="D358" s="78"/>
      <c r="E358" s="78"/>
      <c r="F358" s="78"/>
      <c r="G358" s="78"/>
      <c r="H358" s="78"/>
    </row>
    <row r="359" ht="14.25" customHeight="1">
      <c r="A359" s="127" t="s">
        <v>1</v>
      </c>
      <c r="B359" s="128">
        <v>46209.0</v>
      </c>
      <c r="C359" s="78"/>
      <c r="D359" s="78"/>
      <c r="E359" s="78"/>
      <c r="F359" s="78"/>
      <c r="G359" s="78"/>
      <c r="H359" s="78"/>
    </row>
    <row r="360" ht="14.25" customHeight="1">
      <c r="A360" s="129" t="s">
        <v>3</v>
      </c>
      <c r="B360" s="130" t="s">
        <v>8</v>
      </c>
      <c r="C360" s="78"/>
      <c r="D360" s="78"/>
      <c r="E360" s="78"/>
      <c r="F360" s="78"/>
      <c r="G360" s="78"/>
      <c r="H360" s="78"/>
    </row>
    <row r="361" ht="14.25" customHeight="1">
      <c r="A361" s="129" t="s">
        <v>4</v>
      </c>
      <c r="B361" s="130" t="s">
        <v>19</v>
      </c>
      <c r="C361" s="78"/>
      <c r="D361" s="78"/>
      <c r="E361" s="78"/>
      <c r="F361" s="78"/>
      <c r="G361" s="78"/>
      <c r="H361" s="78"/>
    </row>
    <row r="362" ht="14.25" customHeight="1">
      <c r="A362" s="129" t="s">
        <v>5</v>
      </c>
      <c r="B362" s="131">
        <v>22.0</v>
      </c>
      <c r="C362" s="78"/>
      <c r="D362" s="78"/>
      <c r="E362" s="78"/>
      <c r="F362" s="78"/>
      <c r="G362" s="78"/>
      <c r="H362" s="78"/>
    </row>
    <row r="363" ht="14.25" customHeight="1">
      <c r="A363" s="129" t="s">
        <v>6</v>
      </c>
      <c r="B363" s="130" t="s">
        <v>31</v>
      </c>
      <c r="C363" s="78"/>
      <c r="D363" s="78"/>
      <c r="E363" s="78"/>
      <c r="F363" s="78"/>
      <c r="G363" s="78"/>
      <c r="H363" s="78"/>
    </row>
    <row r="364" ht="14.25" customHeight="1">
      <c r="A364" s="129" t="s">
        <v>7</v>
      </c>
      <c r="B364" s="68" t="s">
        <v>51</v>
      </c>
      <c r="C364" s="78"/>
      <c r="D364" s="78"/>
      <c r="E364" s="78"/>
      <c r="F364" s="78"/>
      <c r="G364" s="78"/>
      <c r="H364" s="78"/>
    </row>
    <row r="365" ht="14.25" customHeight="1">
      <c r="A365" s="129" t="s">
        <v>9</v>
      </c>
      <c r="B365" s="26">
        <v>0.14</v>
      </c>
      <c r="C365" s="78"/>
      <c r="D365" s="78"/>
      <c r="E365" s="78"/>
      <c r="F365" s="78"/>
      <c r="G365" s="78"/>
      <c r="H365" s="78"/>
    </row>
    <row r="366" ht="14.25" customHeight="1">
      <c r="A366" s="129" t="s">
        <v>18</v>
      </c>
      <c r="B366" s="13">
        <v>7.01</v>
      </c>
      <c r="C366" s="78"/>
      <c r="D366" s="78"/>
      <c r="E366" s="78"/>
      <c r="F366" s="78"/>
      <c r="G366" s="78"/>
      <c r="H366" s="78"/>
    </row>
    <row r="367" ht="14.25" customHeight="1">
      <c r="A367" s="129" t="s">
        <v>22</v>
      </c>
      <c r="B367" s="68" t="s">
        <v>51</v>
      </c>
      <c r="C367" s="78"/>
      <c r="D367" s="78"/>
      <c r="E367" s="78"/>
      <c r="F367" s="78"/>
      <c r="G367" s="78"/>
      <c r="H367" s="78"/>
    </row>
    <row r="368" ht="14.25" customHeight="1">
      <c r="A368" s="129" t="s">
        <v>29</v>
      </c>
      <c r="B368" s="39">
        <v>0.0455</v>
      </c>
      <c r="C368" s="78"/>
      <c r="D368" s="78"/>
      <c r="E368" s="78"/>
      <c r="F368" s="78"/>
      <c r="G368" s="78"/>
      <c r="H368" s="78"/>
    </row>
    <row r="369" ht="14.25" customHeight="1"/>
    <row r="370" ht="14.25" customHeight="1"/>
    <row r="371" ht="14.25" customHeight="1">
      <c r="A371" s="77" t="s">
        <v>176</v>
      </c>
      <c r="B371" s="78"/>
      <c r="C371" s="78"/>
      <c r="D371" s="78"/>
      <c r="E371" s="78"/>
      <c r="F371" s="78"/>
    </row>
    <row r="372" ht="14.25" customHeight="1">
      <c r="A372" s="79" t="s">
        <v>42</v>
      </c>
      <c r="B372" s="79" t="s">
        <v>44</v>
      </c>
      <c r="C372" s="79" t="s">
        <v>45</v>
      </c>
      <c r="D372" s="79" t="s">
        <v>46</v>
      </c>
      <c r="E372" s="79" t="s">
        <v>47</v>
      </c>
      <c r="F372" s="79" t="s">
        <v>111</v>
      </c>
    </row>
    <row r="373" ht="14.25" customHeight="1">
      <c r="A373" s="80" t="s">
        <v>50</v>
      </c>
      <c r="B373" s="81">
        <v>0.532</v>
      </c>
      <c r="C373" s="81">
        <v>7.98</v>
      </c>
      <c r="D373" s="81">
        <v>5686.0</v>
      </c>
      <c r="E373" s="81">
        <v>4745.0</v>
      </c>
      <c r="F373" s="81">
        <v>15.0</v>
      </c>
    </row>
    <row r="374" ht="14.25" customHeight="1">
      <c r="A374" s="80" t="s">
        <v>56</v>
      </c>
      <c r="B374" s="81">
        <v>1.47</v>
      </c>
      <c r="C374" s="81">
        <v>1.47</v>
      </c>
      <c r="D374" s="81">
        <v>3067.0</v>
      </c>
      <c r="E374" s="81">
        <v>2969.0</v>
      </c>
      <c r="F374" s="81">
        <v>1.0</v>
      </c>
    </row>
    <row r="375" ht="14.25" customHeight="1">
      <c r="A375" s="80" t="s">
        <v>59</v>
      </c>
      <c r="B375" s="81">
        <v>0.21571429</v>
      </c>
      <c r="C375" s="81">
        <v>1.51</v>
      </c>
      <c r="D375" s="81">
        <v>2727.0</v>
      </c>
      <c r="E375" s="81">
        <v>2625.0</v>
      </c>
      <c r="F375" s="81">
        <v>7.0</v>
      </c>
    </row>
    <row r="376" ht="14.25" customHeight="1">
      <c r="A376" s="80" t="s">
        <v>61</v>
      </c>
      <c r="B376" s="81">
        <v>1.5</v>
      </c>
      <c r="C376" s="81">
        <v>1.5</v>
      </c>
      <c r="D376" s="81">
        <v>1541.0</v>
      </c>
      <c r="E376" s="81">
        <v>1516.0</v>
      </c>
      <c r="F376" s="81">
        <v>1.0</v>
      </c>
    </row>
    <row r="377" ht="14.25" customHeight="1">
      <c r="A377" s="80" t="s">
        <v>63</v>
      </c>
      <c r="B377" s="81">
        <v>0.51666667</v>
      </c>
      <c r="C377" s="81">
        <v>1.55</v>
      </c>
      <c r="D377" s="81">
        <v>1960.0</v>
      </c>
      <c r="E377" s="81">
        <v>1862.0</v>
      </c>
      <c r="F377" s="81">
        <v>3.0</v>
      </c>
    </row>
    <row r="378" ht="14.25" customHeight="1">
      <c r="A378" s="78"/>
      <c r="B378" s="82" t="s">
        <v>65</v>
      </c>
      <c r="C378" s="82">
        <v>14.01</v>
      </c>
      <c r="D378" s="78"/>
      <c r="E378" s="78"/>
      <c r="F378" s="82">
        <v>27.0</v>
      </c>
    </row>
    <row r="379" ht="14.25" customHeight="1">
      <c r="A379" s="78"/>
      <c r="B379" s="78"/>
      <c r="C379" s="78"/>
      <c r="D379" s="78"/>
      <c r="E379" s="78"/>
      <c r="F379" s="78"/>
    </row>
    <row r="380" ht="14.25" customHeight="1">
      <c r="A380" s="84" t="s">
        <v>119</v>
      </c>
      <c r="B380" s="78"/>
      <c r="C380" s="78"/>
      <c r="D380" s="78"/>
      <c r="E380" s="78"/>
      <c r="F380" s="78"/>
    </row>
    <row r="381" ht="14.25" customHeight="1">
      <c r="A381" s="80" t="s">
        <v>67</v>
      </c>
      <c r="B381" s="80" t="s">
        <v>68</v>
      </c>
      <c r="C381" s="78"/>
      <c r="D381" s="78"/>
      <c r="E381" s="78"/>
      <c r="F381" s="78"/>
    </row>
    <row r="382" ht="14.25" customHeight="1">
      <c r="A382" s="80" t="s">
        <v>70</v>
      </c>
      <c r="B382" s="81">
        <v>13.0</v>
      </c>
      <c r="C382" s="78"/>
      <c r="D382" s="78"/>
      <c r="E382" s="78"/>
      <c r="F382" s="78"/>
    </row>
    <row r="383" ht="14.25" customHeight="1">
      <c r="A383" s="80" t="s">
        <v>123</v>
      </c>
      <c r="B383" s="81">
        <v>8.0</v>
      </c>
      <c r="C383" s="78"/>
      <c r="D383" s="78"/>
      <c r="E383" s="78"/>
      <c r="F383" s="78"/>
    </row>
    <row r="384" ht="14.25" customHeight="1">
      <c r="A384" s="80" t="s">
        <v>120</v>
      </c>
      <c r="B384" s="81">
        <v>6.0</v>
      </c>
      <c r="C384" s="78"/>
      <c r="D384" s="78"/>
      <c r="E384" s="78"/>
      <c r="F384" s="78"/>
    </row>
    <row r="385" ht="14.25" customHeight="1">
      <c r="A385" s="80" t="s">
        <v>121</v>
      </c>
      <c r="B385" s="81">
        <v>5.0</v>
      </c>
      <c r="C385" s="78"/>
      <c r="D385" s="78"/>
      <c r="E385" s="78"/>
      <c r="F385" s="78"/>
    </row>
    <row r="386" ht="14.25" customHeight="1">
      <c r="A386" s="80" t="s">
        <v>122</v>
      </c>
      <c r="B386" s="81">
        <v>4.0</v>
      </c>
      <c r="C386" s="78"/>
      <c r="D386" s="78"/>
      <c r="E386" s="78"/>
      <c r="F386" s="78"/>
    </row>
    <row r="387" ht="14.25" customHeight="1">
      <c r="A387" s="80" t="s">
        <v>69</v>
      </c>
      <c r="B387" s="81">
        <v>2.0</v>
      </c>
      <c r="C387" s="78"/>
      <c r="D387" s="78"/>
      <c r="E387" s="78"/>
      <c r="F387" s="78"/>
    </row>
    <row r="388" ht="14.25" customHeight="1">
      <c r="A388" s="78"/>
      <c r="B388" s="83">
        <v>38.0</v>
      </c>
      <c r="C388" s="78"/>
      <c r="D388" s="78"/>
      <c r="E388" s="78"/>
      <c r="F388" s="78"/>
    </row>
    <row r="389" ht="14.25" customHeight="1">
      <c r="A389" s="78"/>
      <c r="B389" s="78"/>
      <c r="C389" s="78"/>
      <c r="D389" s="78"/>
      <c r="E389" s="78"/>
      <c r="F389" s="78"/>
    </row>
    <row r="390" ht="14.25" customHeight="1">
      <c r="A390" s="84" t="s">
        <v>124</v>
      </c>
      <c r="B390" s="78"/>
      <c r="C390" s="78"/>
      <c r="D390" s="78"/>
      <c r="E390" s="78"/>
      <c r="F390" s="78"/>
    </row>
    <row r="391" ht="14.25" customHeight="1">
      <c r="A391" s="79" t="s">
        <v>67</v>
      </c>
      <c r="B391" s="79" t="s">
        <v>73</v>
      </c>
      <c r="C391" s="79" t="s">
        <v>74</v>
      </c>
      <c r="D391" s="79" t="s">
        <v>75</v>
      </c>
      <c r="E391" s="79" t="s">
        <v>68</v>
      </c>
      <c r="F391" s="78"/>
    </row>
    <row r="392" ht="14.25" customHeight="1">
      <c r="A392" s="80" t="s">
        <v>70</v>
      </c>
      <c r="B392" s="81">
        <v>38.0</v>
      </c>
      <c r="C392" s="81">
        <v>2.0</v>
      </c>
      <c r="D392" s="81">
        <v>14.0</v>
      </c>
      <c r="E392" s="81">
        <v>54.0</v>
      </c>
      <c r="F392" s="78"/>
    </row>
    <row r="393" ht="14.25" customHeight="1">
      <c r="A393" s="80" t="s">
        <v>122</v>
      </c>
      <c r="B393" s="81">
        <v>3.0</v>
      </c>
      <c r="C393" s="81">
        <v>0.0</v>
      </c>
      <c r="D393" s="81">
        <v>5.0</v>
      </c>
      <c r="E393" s="81">
        <v>8.0</v>
      </c>
      <c r="F393" s="78"/>
    </row>
    <row r="394" ht="14.25" customHeight="1">
      <c r="A394" s="80" t="s">
        <v>123</v>
      </c>
      <c r="B394" s="81">
        <v>2.0</v>
      </c>
      <c r="C394" s="81">
        <v>0.0</v>
      </c>
      <c r="D394" s="81">
        <v>2.0</v>
      </c>
      <c r="E394" s="81">
        <v>4.0</v>
      </c>
      <c r="F394" s="78"/>
    </row>
    <row r="395" ht="14.25" customHeight="1">
      <c r="A395" s="80" t="s">
        <v>130</v>
      </c>
      <c r="B395" s="81">
        <v>4.0</v>
      </c>
      <c r="C395" s="81">
        <v>0.0</v>
      </c>
      <c r="D395" s="81">
        <v>0.0</v>
      </c>
      <c r="E395" s="81">
        <v>4.0</v>
      </c>
      <c r="F395" s="78"/>
    </row>
    <row r="396" ht="14.25" customHeight="1">
      <c r="A396" s="80" t="s">
        <v>120</v>
      </c>
      <c r="B396" s="81">
        <v>3.0</v>
      </c>
      <c r="C396" s="81">
        <v>0.0</v>
      </c>
      <c r="D396" s="81">
        <v>0.0</v>
      </c>
      <c r="E396" s="81">
        <v>3.0</v>
      </c>
      <c r="F396" s="78"/>
    </row>
    <row r="397" ht="14.25" customHeight="1">
      <c r="A397" s="80" t="s">
        <v>69</v>
      </c>
      <c r="B397" s="81">
        <v>2.0</v>
      </c>
      <c r="C397" s="81">
        <v>0.0</v>
      </c>
      <c r="D397" s="81">
        <v>0.0</v>
      </c>
      <c r="E397" s="81">
        <v>2.0</v>
      </c>
      <c r="F397" s="78"/>
    </row>
    <row r="398" ht="14.25" customHeight="1">
      <c r="A398" s="78"/>
      <c r="B398" s="78"/>
      <c r="C398" s="78"/>
      <c r="D398" s="78"/>
      <c r="E398" s="78"/>
      <c r="F398" s="78"/>
    </row>
    <row r="399" ht="14.25" customHeight="1">
      <c r="A399" s="78"/>
      <c r="B399" s="78"/>
      <c r="C399" s="78"/>
      <c r="D399" s="78"/>
      <c r="E399" s="78"/>
      <c r="F399" s="78"/>
    </row>
    <row r="400" ht="14.25" customHeight="1">
      <c r="A400" s="84" t="s">
        <v>77</v>
      </c>
      <c r="B400" s="78"/>
      <c r="C400" s="78"/>
      <c r="D400" s="78"/>
      <c r="E400" s="78"/>
      <c r="F400" s="78"/>
    </row>
    <row r="401" ht="14.25" customHeight="1">
      <c r="A401" s="86" t="s">
        <v>79</v>
      </c>
      <c r="B401" s="86" t="s">
        <v>5</v>
      </c>
      <c r="C401" s="78"/>
      <c r="D401" s="78"/>
      <c r="E401" s="78"/>
      <c r="F401" s="78"/>
    </row>
    <row r="402" ht="14.25" customHeight="1">
      <c r="A402" s="87" t="s">
        <v>133</v>
      </c>
      <c r="B402" s="88">
        <v>10.0</v>
      </c>
      <c r="C402" s="78"/>
      <c r="D402" s="78"/>
      <c r="E402" s="78"/>
      <c r="F402" s="78"/>
    </row>
    <row r="403" ht="14.25" customHeight="1">
      <c r="A403" s="87" t="s">
        <v>86</v>
      </c>
      <c r="B403" s="88">
        <v>6.0</v>
      </c>
      <c r="C403" s="78"/>
      <c r="D403" s="78"/>
      <c r="E403" s="78"/>
      <c r="F403" s="78"/>
    </row>
    <row r="404" ht="14.25" customHeight="1">
      <c r="A404" s="87" t="s">
        <v>88</v>
      </c>
      <c r="B404" s="88">
        <v>6.0</v>
      </c>
      <c r="C404" s="78"/>
      <c r="D404" s="78"/>
      <c r="E404" s="78"/>
      <c r="F404" s="78"/>
    </row>
    <row r="405" ht="14.25" customHeight="1">
      <c r="A405" s="87" t="s">
        <v>83</v>
      </c>
      <c r="B405" s="88">
        <v>3.0</v>
      </c>
      <c r="C405" s="78"/>
      <c r="D405" s="78"/>
      <c r="E405" s="78"/>
      <c r="F405" s="78"/>
    </row>
    <row r="406" ht="14.25" customHeight="1">
      <c r="A406" s="87" t="s">
        <v>84</v>
      </c>
      <c r="B406" s="88">
        <v>2.0</v>
      </c>
      <c r="C406" s="78"/>
      <c r="D406" s="78"/>
      <c r="E406" s="78"/>
      <c r="F406" s="78"/>
    </row>
    <row r="407" ht="14.25" customHeight="1">
      <c r="A407" s="87" t="s">
        <v>126</v>
      </c>
      <c r="B407" s="88">
        <v>2.0</v>
      </c>
      <c r="C407" s="78"/>
      <c r="D407" s="78"/>
      <c r="E407" s="78"/>
      <c r="F407" s="78"/>
    </row>
    <row r="408" ht="14.25" customHeight="1">
      <c r="A408" s="78"/>
      <c r="B408" s="78"/>
      <c r="C408" s="78"/>
      <c r="D408" s="78"/>
      <c r="E408" s="78"/>
      <c r="F408" s="78"/>
    </row>
    <row r="409" ht="14.25" customHeight="1">
      <c r="A409" s="89" t="s">
        <v>127</v>
      </c>
      <c r="B409" s="132" t="s">
        <v>54</v>
      </c>
      <c r="C409" s="78"/>
      <c r="D409" s="78"/>
      <c r="E409" s="78"/>
      <c r="F409" s="78"/>
    </row>
    <row r="410" ht="14.25" customHeight="1">
      <c r="A410" s="89" t="s">
        <v>129</v>
      </c>
      <c r="B410" s="132" t="s">
        <v>54</v>
      </c>
      <c r="C410" s="78"/>
      <c r="D410" s="78"/>
      <c r="E410" s="78"/>
      <c r="F410" s="78"/>
    </row>
    <row r="411" ht="14.25" customHeight="1">
      <c r="A411" s="89" t="s">
        <v>131</v>
      </c>
      <c r="B411" s="132" t="s">
        <v>54</v>
      </c>
      <c r="C411" s="78"/>
      <c r="D411" s="78"/>
      <c r="E411" s="78"/>
      <c r="F411" s="78"/>
    </row>
    <row r="412" ht="14.25" customHeight="1">
      <c r="A412" s="89" t="s">
        <v>132</v>
      </c>
      <c r="B412" s="132" t="s">
        <v>54</v>
      </c>
      <c r="C412" s="78"/>
      <c r="D412" s="78"/>
      <c r="E412" s="78"/>
      <c r="F412" s="78"/>
    </row>
    <row r="413" ht="14.25" customHeight="1">
      <c r="A413" s="78"/>
      <c r="B413" s="78"/>
      <c r="C413" s="78"/>
      <c r="D413" s="78"/>
      <c r="E413" s="78"/>
      <c r="F413" s="78"/>
    </row>
    <row r="414" ht="14.25" customHeight="1">
      <c r="A414" s="93" t="s">
        <v>7</v>
      </c>
      <c r="B414" s="93" t="s">
        <v>54</v>
      </c>
      <c r="C414" s="78"/>
      <c r="D414" s="78"/>
      <c r="E414" s="78"/>
      <c r="F414" s="78"/>
    </row>
    <row r="415" ht="14.25" customHeight="1">
      <c r="A415" s="133" t="s">
        <v>0</v>
      </c>
      <c r="B415" s="133" t="s">
        <v>175</v>
      </c>
      <c r="C415" s="95">
        <v>1.0</v>
      </c>
      <c r="D415" s="78"/>
      <c r="E415" s="78"/>
      <c r="F415" s="78"/>
    </row>
    <row r="416" ht="14.25" customHeight="1">
      <c r="A416" s="78"/>
      <c r="B416" s="78"/>
      <c r="C416" s="78"/>
      <c r="D416" s="78"/>
      <c r="E416" s="78"/>
      <c r="F416" s="78"/>
    </row>
    <row r="417" ht="14.25" customHeight="1">
      <c r="A417" s="66" t="s">
        <v>1</v>
      </c>
      <c r="B417" s="44">
        <v>46210.0</v>
      </c>
      <c r="C417" s="78"/>
      <c r="D417" s="78"/>
      <c r="E417" s="78"/>
      <c r="F417" s="78"/>
    </row>
    <row r="418" ht="14.25" customHeight="1">
      <c r="A418" s="96" t="s">
        <v>3</v>
      </c>
      <c r="B418" s="134" t="s">
        <v>179</v>
      </c>
      <c r="C418" s="78"/>
      <c r="D418" s="78"/>
      <c r="E418" s="78"/>
      <c r="F418" s="78"/>
    </row>
    <row r="419" ht="14.25" customHeight="1">
      <c r="A419" s="96" t="s">
        <v>4</v>
      </c>
      <c r="B419" s="134" t="s">
        <v>180</v>
      </c>
      <c r="C419" s="78"/>
      <c r="D419" s="78"/>
      <c r="E419" s="78"/>
      <c r="F419" s="78"/>
    </row>
    <row r="420" ht="14.25" customHeight="1">
      <c r="A420" s="96" t="s">
        <v>5</v>
      </c>
      <c r="B420" s="135">
        <v>27.0</v>
      </c>
      <c r="C420" s="78"/>
      <c r="D420" s="78"/>
      <c r="E420" s="78"/>
      <c r="F420" s="78"/>
    </row>
    <row r="421" ht="14.25" customHeight="1">
      <c r="A421" s="96" t="s">
        <v>6</v>
      </c>
      <c r="B421" s="134" t="s">
        <v>181</v>
      </c>
      <c r="C421" s="78"/>
      <c r="D421" s="78"/>
      <c r="E421" s="78"/>
      <c r="F421" s="78"/>
    </row>
    <row r="422" ht="14.25" customHeight="1">
      <c r="A422" s="96" t="s">
        <v>7</v>
      </c>
      <c r="B422" s="68" t="s">
        <v>54</v>
      </c>
      <c r="C422" s="78"/>
      <c r="D422" s="78"/>
      <c r="E422" s="78"/>
      <c r="F422" s="78"/>
    </row>
    <row r="423" ht="14.25" customHeight="1">
      <c r="A423" s="96" t="s">
        <v>9</v>
      </c>
      <c r="B423" s="136" t="s">
        <v>64</v>
      </c>
      <c r="C423" s="78"/>
      <c r="D423" s="78"/>
      <c r="E423" s="78"/>
      <c r="F423" s="78"/>
    </row>
    <row r="424" ht="14.25" customHeight="1">
      <c r="A424" s="96" t="s">
        <v>18</v>
      </c>
      <c r="B424" s="13">
        <v>0.0</v>
      </c>
      <c r="C424" s="78"/>
      <c r="D424" s="78"/>
      <c r="E424" s="78"/>
      <c r="F424" s="78"/>
    </row>
    <row r="425" ht="14.25" customHeight="1">
      <c r="A425" s="96" t="s">
        <v>22</v>
      </c>
      <c r="B425" s="68" t="s">
        <v>54</v>
      </c>
      <c r="C425" s="78"/>
      <c r="D425" s="78"/>
      <c r="E425" s="78"/>
      <c r="F425" s="78"/>
    </row>
    <row r="426" ht="14.25" customHeight="1">
      <c r="A426" s="96" t="s">
        <v>29</v>
      </c>
      <c r="B426" s="39">
        <v>0.037</v>
      </c>
      <c r="C426" s="78"/>
      <c r="D426" s="78"/>
      <c r="E426" s="78"/>
      <c r="F426" s="78"/>
    </row>
    <row r="427" ht="14.25" customHeight="1"/>
    <row r="428" ht="14.25" customHeight="1"/>
    <row r="429" ht="14.25" customHeight="1">
      <c r="A429" s="77" t="s">
        <v>182</v>
      </c>
      <c r="B429" s="78"/>
      <c r="C429" s="78"/>
      <c r="D429" s="78"/>
      <c r="E429" s="78"/>
      <c r="F429" s="78"/>
    </row>
    <row r="430" ht="14.25" customHeight="1">
      <c r="A430" s="79" t="s">
        <v>42</v>
      </c>
      <c r="B430" s="79" t="s">
        <v>44</v>
      </c>
      <c r="C430" s="79" t="s">
        <v>45</v>
      </c>
      <c r="D430" s="79" t="s">
        <v>46</v>
      </c>
      <c r="E430" s="79" t="s">
        <v>47</v>
      </c>
      <c r="F430" s="79" t="s">
        <v>111</v>
      </c>
    </row>
    <row r="431" ht="14.25" customHeight="1">
      <c r="A431" s="80" t="s">
        <v>50</v>
      </c>
      <c r="B431" s="81">
        <v>0.74363636</v>
      </c>
      <c r="C431" s="81">
        <v>8.18</v>
      </c>
      <c r="D431" s="81">
        <v>6171.0</v>
      </c>
      <c r="E431" s="81">
        <v>5058.0</v>
      </c>
      <c r="F431" s="81">
        <v>11.0</v>
      </c>
    </row>
    <row r="432" ht="14.25" customHeight="1">
      <c r="A432" s="80" t="s">
        <v>56</v>
      </c>
      <c r="B432" s="81">
        <v>0.3375</v>
      </c>
      <c r="C432" s="81">
        <v>1.35</v>
      </c>
      <c r="D432" s="81">
        <v>2702.0</v>
      </c>
      <c r="E432" s="81">
        <v>2670.0</v>
      </c>
      <c r="F432" s="81">
        <v>4.0</v>
      </c>
    </row>
    <row r="433" ht="14.25" customHeight="1">
      <c r="A433" s="80" t="s">
        <v>59</v>
      </c>
      <c r="B433" s="81">
        <v>0.72</v>
      </c>
      <c r="C433" s="81">
        <v>1.44</v>
      </c>
      <c r="D433" s="81">
        <v>2337.0</v>
      </c>
      <c r="E433" s="81">
        <v>2259.0</v>
      </c>
      <c r="F433" s="81">
        <v>2.0</v>
      </c>
    </row>
    <row r="434" ht="14.25" customHeight="1">
      <c r="A434" s="80" t="s">
        <v>61</v>
      </c>
      <c r="B434" s="81">
        <v>0.48333333</v>
      </c>
      <c r="C434" s="81">
        <v>1.45</v>
      </c>
      <c r="D434" s="81">
        <v>1833.0</v>
      </c>
      <c r="E434" s="81">
        <v>1833.0</v>
      </c>
      <c r="F434" s="81">
        <v>3.0</v>
      </c>
    </row>
    <row r="435" ht="14.25" customHeight="1">
      <c r="A435" s="80" t="s">
        <v>63</v>
      </c>
      <c r="B435" s="81">
        <v>0.3425</v>
      </c>
      <c r="C435" s="81">
        <v>1.37</v>
      </c>
      <c r="D435" s="81">
        <v>1688.0</v>
      </c>
      <c r="E435" s="81">
        <v>1646.0</v>
      </c>
      <c r="F435" s="81">
        <v>4.0</v>
      </c>
    </row>
    <row r="436" ht="14.25" customHeight="1">
      <c r="A436" s="78"/>
      <c r="B436" s="82" t="s">
        <v>65</v>
      </c>
      <c r="C436" s="82">
        <v>13.79</v>
      </c>
      <c r="D436" s="78"/>
      <c r="E436" s="78"/>
      <c r="F436" s="83">
        <v>24.0</v>
      </c>
    </row>
    <row r="437" ht="14.25" customHeight="1">
      <c r="A437" s="78"/>
      <c r="B437" s="78"/>
      <c r="C437" s="78"/>
      <c r="D437" s="78"/>
      <c r="E437" s="78"/>
      <c r="F437" s="78"/>
    </row>
    <row r="438" ht="14.25" customHeight="1">
      <c r="A438" s="84" t="s">
        <v>119</v>
      </c>
      <c r="B438" s="78"/>
      <c r="C438" s="78"/>
      <c r="D438" s="78"/>
      <c r="E438" s="78"/>
      <c r="F438" s="78"/>
    </row>
    <row r="439" ht="14.25" customHeight="1">
      <c r="A439" s="79" t="s">
        <v>67</v>
      </c>
      <c r="B439" s="79" t="s">
        <v>68</v>
      </c>
      <c r="C439" s="78"/>
      <c r="D439" s="78"/>
      <c r="E439" s="78"/>
      <c r="F439" s="78"/>
    </row>
    <row r="440" ht="14.25" customHeight="1">
      <c r="A440" s="80" t="s">
        <v>70</v>
      </c>
      <c r="B440" s="81">
        <v>8.0</v>
      </c>
      <c r="C440" s="78"/>
      <c r="D440" s="78"/>
      <c r="E440" s="78"/>
      <c r="F440" s="78"/>
    </row>
    <row r="441" ht="14.25" customHeight="1">
      <c r="A441" s="80" t="s">
        <v>69</v>
      </c>
      <c r="B441" s="81">
        <v>6.0</v>
      </c>
      <c r="C441" s="78"/>
      <c r="D441" s="78"/>
      <c r="E441" s="78"/>
      <c r="F441" s="78"/>
    </row>
    <row r="442" ht="14.25" customHeight="1">
      <c r="A442" s="80" t="s">
        <v>123</v>
      </c>
      <c r="B442" s="81">
        <v>5.0</v>
      </c>
      <c r="C442" s="78"/>
      <c r="D442" s="78"/>
      <c r="E442" s="78"/>
      <c r="F442" s="78"/>
    </row>
    <row r="443" ht="14.25" customHeight="1">
      <c r="A443" s="80" t="s">
        <v>120</v>
      </c>
      <c r="B443" s="81">
        <v>5.0</v>
      </c>
      <c r="C443" s="78"/>
      <c r="D443" s="78"/>
      <c r="E443" s="78"/>
      <c r="F443" s="78"/>
    </row>
    <row r="444" ht="14.25" customHeight="1">
      <c r="A444" s="80" t="s">
        <v>122</v>
      </c>
      <c r="B444" s="81">
        <v>5.0</v>
      </c>
      <c r="C444" s="78"/>
      <c r="D444" s="78"/>
      <c r="E444" s="78"/>
      <c r="F444" s="78"/>
    </row>
    <row r="445" ht="14.25" customHeight="1">
      <c r="A445" s="80" t="s">
        <v>121</v>
      </c>
      <c r="B445" s="81">
        <v>4.0</v>
      </c>
      <c r="C445" s="78"/>
      <c r="D445" s="78"/>
      <c r="E445" s="78"/>
      <c r="F445" s="78"/>
    </row>
    <row r="446" ht="14.25" customHeight="1">
      <c r="A446" s="78"/>
      <c r="B446" s="83">
        <v>33.0</v>
      </c>
      <c r="C446" s="78"/>
      <c r="D446" s="78"/>
      <c r="E446" s="78"/>
      <c r="F446" s="78"/>
    </row>
    <row r="447" ht="14.25" customHeight="1">
      <c r="A447" s="78"/>
      <c r="B447" s="78"/>
      <c r="C447" s="78"/>
      <c r="D447" s="78"/>
      <c r="E447" s="78"/>
      <c r="F447" s="78"/>
    </row>
    <row r="448" ht="14.25" customHeight="1">
      <c r="A448" s="84" t="s">
        <v>124</v>
      </c>
      <c r="B448" s="78"/>
      <c r="C448" s="78"/>
      <c r="D448" s="78"/>
      <c r="E448" s="78"/>
      <c r="F448" s="78"/>
    </row>
    <row r="449" ht="14.25" customHeight="1">
      <c r="A449" s="79" t="s">
        <v>67</v>
      </c>
      <c r="B449" s="79" t="s">
        <v>73</v>
      </c>
      <c r="C449" s="79" t="s">
        <v>74</v>
      </c>
      <c r="D449" s="79" t="s">
        <v>75</v>
      </c>
      <c r="E449" s="79" t="s">
        <v>68</v>
      </c>
      <c r="F449" s="78"/>
    </row>
    <row r="450" ht="14.25" customHeight="1">
      <c r="A450" s="80" t="s">
        <v>70</v>
      </c>
      <c r="B450" s="81">
        <v>34.0</v>
      </c>
      <c r="C450" s="81">
        <v>0.0</v>
      </c>
      <c r="D450" s="81">
        <v>6.0</v>
      </c>
      <c r="E450" s="81">
        <v>40.0</v>
      </c>
      <c r="F450" s="78"/>
    </row>
    <row r="451" ht="14.25" customHeight="1">
      <c r="A451" s="80" t="s">
        <v>125</v>
      </c>
      <c r="B451" s="81">
        <v>11.0</v>
      </c>
      <c r="C451" s="81">
        <v>0.0</v>
      </c>
      <c r="D451" s="81">
        <v>4.0</v>
      </c>
      <c r="E451" s="81">
        <v>15.0</v>
      </c>
      <c r="F451" s="78"/>
    </row>
    <row r="452" ht="14.25" customHeight="1">
      <c r="A452" s="80" t="s">
        <v>123</v>
      </c>
      <c r="B452" s="81">
        <v>12.0</v>
      </c>
      <c r="C452" s="81">
        <v>0.0</v>
      </c>
      <c r="D452" s="81">
        <v>0.0</v>
      </c>
      <c r="E452" s="81">
        <v>12.0</v>
      </c>
      <c r="F452" s="78"/>
    </row>
    <row r="453" ht="14.25" customHeight="1">
      <c r="A453" s="80" t="s">
        <v>120</v>
      </c>
      <c r="B453" s="81">
        <v>7.0</v>
      </c>
      <c r="C453" s="81">
        <v>0.0</v>
      </c>
      <c r="D453" s="81">
        <v>0.0</v>
      </c>
      <c r="E453" s="81">
        <v>7.0</v>
      </c>
      <c r="F453" s="78"/>
    </row>
    <row r="454" ht="14.25" customHeight="1">
      <c r="A454" s="80" t="s">
        <v>69</v>
      </c>
      <c r="B454" s="81">
        <v>1.0</v>
      </c>
      <c r="C454" s="81">
        <v>1.0</v>
      </c>
      <c r="D454" s="81">
        <v>1.0</v>
      </c>
      <c r="E454" s="81">
        <v>3.0</v>
      </c>
      <c r="F454" s="78"/>
    </row>
    <row r="455" ht="14.25" customHeight="1">
      <c r="A455" s="80" t="s">
        <v>130</v>
      </c>
      <c r="B455" s="81">
        <v>1.0</v>
      </c>
      <c r="C455" s="81">
        <v>0.0</v>
      </c>
      <c r="D455" s="81">
        <v>2.0</v>
      </c>
      <c r="E455" s="81">
        <v>3.0</v>
      </c>
      <c r="F455" s="78"/>
    </row>
    <row r="456" ht="14.25" customHeight="1">
      <c r="A456" s="78"/>
      <c r="B456" s="78"/>
      <c r="C456" s="78"/>
      <c r="D456" s="78"/>
      <c r="E456" s="78"/>
      <c r="F456" s="78"/>
    </row>
    <row r="457" ht="14.25" customHeight="1">
      <c r="A457" s="84" t="s">
        <v>77</v>
      </c>
      <c r="B457" s="78"/>
      <c r="C457" s="78"/>
      <c r="D457" s="78"/>
      <c r="E457" s="78"/>
      <c r="F457" s="78"/>
    </row>
    <row r="458" ht="14.25" customHeight="1">
      <c r="A458" s="86" t="s">
        <v>79</v>
      </c>
      <c r="B458" s="86" t="s">
        <v>5</v>
      </c>
      <c r="C458" s="78"/>
      <c r="D458" s="78"/>
      <c r="E458" s="78"/>
      <c r="F458" s="78"/>
    </row>
    <row r="459" ht="14.25" customHeight="1">
      <c r="A459" s="87" t="s">
        <v>133</v>
      </c>
      <c r="B459" s="88">
        <v>11.0</v>
      </c>
      <c r="C459" s="78"/>
      <c r="D459" s="78"/>
      <c r="E459" s="78"/>
      <c r="F459" s="78"/>
    </row>
    <row r="460" ht="14.25" customHeight="1">
      <c r="A460" s="87" t="s">
        <v>84</v>
      </c>
      <c r="B460" s="88">
        <v>6.0</v>
      </c>
      <c r="C460" s="78"/>
      <c r="D460" s="78"/>
      <c r="E460" s="78"/>
      <c r="F460" s="78"/>
    </row>
    <row r="461" ht="14.25" customHeight="1">
      <c r="A461" s="87" t="s">
        <v>126</v>
      </c>
      <c r="B461" s="88">
        <v>5.0</v>
      </c>
      <c r="C461" s="78"/>
      <c r="D461" s="78"/>
      <c r="E461" s="78"/>
      <c r="F461" s="78"/>
    </row>
    <row r="462" ht="14.25" customHeight="1">
      <c r="A462" s="87" t="s">
        <v>83</v>
      </c>
      <c r="B462" s="88">
        <v>4.0</v>
      </c>
      <c r="C462" s="78"/>
      <c r="D462" s="78"/>
      <c r="E462" s="78"/>
      <c r="F462" s="78"/>
    </row>
    <row r="463" ht="14.25" customHeight="1">
      <c r="A463" s="87" t="s">
        <v>88</v>
      </c>
      <c r="B463" s="88">
        <v>3.0</v>
      </c>
      <c r="C463" s="78"/>
      <c r="D463" s="78"/>
      <c r="E463" s="78"/>
      <c r="F463" s="78"/>
    </row>
    <row r="464" ht="14.25" customHeight="1">
      <c r="A464" s="87" t="s">
        <v>174</v>
      </c>
      <c r="B464" s="88">
        <v>1.0</v>
      </c>
      <c r="C464" s="78"/>
      <c r="D464" s="78"/>
      <c r="E464" s="78"/>
      <c r="F464" s="78"/>
    </row>
    <row r="465" ht="14.25" customHeight="1">
      <c r="A465" s="87" t="s">
        <v>86</v>
      </c>
      <c r="B465" s="88">
        <v>1.0</v>
      </c>
      <c r="C465" s="78"/>
      <c r="D465" s="78"/>
      <c r="E465" s="78"/>
      <c r="F465" s="78"/>
    </row>
    <row r="466" ht="14.25" customHeight="1">
      <c r="A466" s="78"/>
      <c r="B466" s="78"/>
      <c r="C466" s="78"/>
      <c r="D466" s="78"/>
      <c r="E466" s="78"/>
      <c r="F466" s="78"/>
    </row>
    <row r="467" ht="14.25" customHeight="1">
      <c r="A467" s="89" t="s">
        <v>127</v>
      </c>
      <c r="B467" s="132" t="s">
        <v>52</v>
      </c>
      <c r="C467" s="78"/>
      <c r="D467" s="78"/>
      <c r="E467" s="78"/>
      <c r="F467" s="78"/>
    </row>
    <row r="468" ht="14.25" customHeight="1">
      <c r="A468" s="89" t="s">
        <v>129</v>
      </c>
      <c r="B468" s="132" t="s">
        <v>54</v>
      </c>
      <c r="C468" s="78"/>
      <c r="D468" s="78"/>
      <c r="E468" s="78"/>
      <c r="F468" s="78"/>
    </row>
    <row r="469" ht="14.25" customHeight="1">
      <c r="A469" s="89" t="s">
        <v>131</v>
      </c>
      <c r="B469" s="132" t="s">
        <v>54</v>
      </c>
      <c r="C469" s="78"/>
      <c r="D469" s="78"/>
      <c r="E469" s="78"/>
      <c r="F469" s="78"/>
    </row>
    <row r="470" ht="14.25" customHeight="1">
      <c r="A470" s="89" t="s">
        <v>132</v>
      </c>
      <c r="B470" s="132" t="s">
        <v>54</v>
      </c>
      <c r="C470" s="78"/>
      <c r="D470" s="78"/>
      <c r="E470" s="78"/>
      <c r="F470" s="78"/>
    </row>
    <row r="471" ht="14.25" customHeight="1">
      <c r="A471" s="78"/>
      <c r="B471" s="78"/>
      <c r="C471" s="78"/>
      <c r="D471" s="78"/>
      <c r="E471" s="78"/>
      <c r="F471" s="78"/>
    </row>
    <row r="472" ht="14.25" customHeight="1">
      <c r="A472" s="93" t="s">
        <v>7</v>
      </c>
      <c r="B472" s="93" t="s">
        <v>52</v>
      </c>
      <c r="C472" s="78"/>
      <c r="D472" s="78"/>
      <c r="E472" s="78"/>
      <c r="F472" s="78"/>
    </row>
    <row r="473" ht="14.25" customHeight="1">
      <c r="A473" s="133" t="s">
        <v>0</v>
      </c>
      <c r="B473" s="133" t="s">
        <v>175</v>
      </c>
      <c r="C473" s="95">
        <v>1.0</v>
      </c>
      <c r="D473" s="78"/>
      <c r="E473" s="78"/>
      <c r="F473" s="78"/>
    </row>
    <row r="474" ht="14.25" customHeight="1">
      <c r="A474" s="78"/>
      <c r="B474" s="78"/>
      <c r="C474" s="78"/>
      <c r="D474" s="78"/>
      <c r="E474" s="78"/>
      <c r="F474" s="78"/>
    </row>
    <row r="475" ht="14.25" customHeight="1">
      <c r="A475" s="66" t="s">
        <v>1</v>
      </c>
      <c r="B475" s="44">
        <v>46211.0</v>
      </c>
      <c r="C475" s="78"/>
      <c r="D475" s="78"/>
      <c r="E475" s="78"/>
      <c r="F475" s="78"/>
    </row>
    <row r="476" ht="14.25" customHeight="1">
      <c r="A476" s="96" t="s">
        <v>3</v>
      </c>
      <c r="B476" s="134" t="s">
        <v>10</v>
      </c>
      <c r="C476" s="78"/>
      <c r="D476" s="78"/>
      <c r="E476" s="78"/>
      <c r="F476" s="78"/>
    </row>
    <row r="477" ht="14.25" customHeight="1">
      <c r="A477" s="96" t="s">
        <v>4</v>
      </c>
      <c r="B477" s="134" t="s">
        <v>20</v>
      </c>
      <c r="C477" s="78"/>
      <c r="D477" s="78"/>
      <c r="E477" s="78"/>
      <c r="F477" s="78"/>
    </row>
    <row r="478" ht="14.25" customHeight="1">
      <c r="A478" s="96" t="s">
        <v>5</v>
      </c>
      <c r="B478" s="135">
        <v>24.0</v>
      </c>
      <c r="C478" s="78"/>
      <c r="D478" s="78"/>
      <c r="E478" s="78"/>
      <c r="F478" s="78"/>
    </row>
    <row r="479" ht="14.25" customHeight="1">
      <c r="A479" s="96" t="s">
        <v>6</v>
      </c>
      <c r="B479" s="134" t="s">
        <v>32</v>
      </c>
      <c r="C479" s="78"/>
      <c r="D479" s="78"/>
      <c r="E479" s="78"/>
      <c r="F479" s="78"/>
    </row>
    <row r="480" ht="14.25" customHeight="1">
      <c r="A480" s="96" t="s">
        <v>7</v>
      </c>
      <c r="B480" s="68" t="s">
        <v>52</v>
      </c>
      <c r="C480" s="78"/>
      <c r="D480" s="78"/>
      <c r="E480" s="78"/>
      <c r="F480" s="78"/>
    </row>
    <row r="481" ht="14.25" customHeight="1">
      <c r="A481" s="96" t="s">
        <v>9</v>
      </c>
      <c r="B481" s="26">
        <v>0.17</v>
      </c>
      <c r="C481" s="78"/>
      <c r="D481" s="78"/>
      <c r="E481" s="78"/>
      <c r="F481" s="78"/>
    </row>
    <row r="482" ht="14.25" customHeight="1">
      <c r="A482" s="96" t="s">
        <v>18</v>
      </c>
      <c r="B482" s="13">
        <v>5.91</v>
      </c>
      <c r="C482" s="78"/>
      <c r="D482" s="78"/>
      <c r="E482" s="78"/>
      <c r="F482" s="78"/>
    </row>
    <row r="483" ht="14.25" customHeight="1">
      <c r="A483" s="96" t="s">
        <v>22</v>
      </c>
      <c r="B483" s="68" t="s">
        <v>52</v>
      </c>
      <c r="C483" s="78"/>
      <c r="D483" s="78"/>
      <c r="E483" s="78"/>
      <c r="F483" s="78"/>
    </row>
    <row r="484" ht="14.25" customHeight="1">
      <c r="A484" s="96" t="s">
        <v>29</v>
      </c>
      <c r="B484" s="39">
        <v>0.0417</v>
      </c>
      <c r="C484" s="78"/>
      <c r="D484" s="78"/>
      <c r="E484" s="78"/>
      <c r="F484" s="78"/>
    </row>
    <row r="485" ht="14.25" customHeight="1"/>
    <row r="486" ht="14.25" customHeight="1"/>
    <row r="487" ht="14.25" customHeight="1">
      <c r="A487" s="77" t="s">
        <v>183</v>
      </c>
      <c r="B487" s="78"/>
      <c r="C487" s="78"/>
      <c r="D487" s="78"/>
      <c r="E487" s="78"/>
      <c r="F487" s="78"/>
    </row>
    <row r="488" ht="14.25" customHeight="1">
      <c r="A488" s="79" t="s">
        <v>42</v>
      </c>
      <c r="B488" s="79" t="s">
        <v>44</v>
      </c>
      <c r="C488" s="79" t="s">
        <v>45</v>
      </c>
      <c r="D488" s="79" t="s">
        <v>46</v>
      </c>
      <c r="E488" s="79" t="s">
        <v>47</v>
      </c>
      <c r="F488" s="79" t="s">
        <v>111</v>
      </c>
    </row>
    <row r="489" ht="14.25" customHeight="1">
      <c r="A489" s="80" t="s">
        <v>50</v>
      </c>
      <c r="B489" s="81">
        <v>1.06</v>
      </c>
      <c r="C489" s="81">
        <v>7.42</v>
      </c>
      <c r="D489" s="81">
        <v>6345.0</v>
      </c>
      <c r="E489" s="81">
        <v>5358.0</v>
      </c>
      <c r="F489" s="81">
        <v>7.0</v>
      </c>
    </row>
    <row r="490" ht="14.25" customHeight="1">
      <c r="A490" s="80" t="s">
        <v>56</v>
      </c>
      <c r="B490" s="81">
        <v>0.39</v>
      </c>
      <c r="C490" s="81">
        <v>1.56</v>
      </c>
      <c r="D490" s="81">
        <v>2809.0</v>
      </c>
      <c r="E490" s="81">
        <v>2683.0</v>
      </c>
      <c r="F490" s="81">
        <v>5.0</v>
      </c>
    </row>
    <row r="491" ht="14.25" customHeight="1">
      <c r="A491" s="80" t="s">
        <v>61</v>
      </c>
      <c r="B491" s="81">
        <v>0.46333333</v>
      </c>
      <c r="C491" s="81">
        <v>1.39</v>
      </c>
      <c r="D491" s="81">
        <v>1878.0</v>
      </c>
      <c r="E491" s="81">
        <v>1847.0</v>
      </c>
      <c r="F491" s="81">
        <v>3.0</v>
      </c>
    </row>
    <row r="492" ht="14.25" customHeight="1">
      <c r="A492" s="80" t="s">
        <v>63</v>
      </c>
      <c r="B492" s="81">
        <v>0.735</v>
      </c>
      <c r="C492" s="81">
        <v>1.47</v>
      </c>
      <c r="D492" s="81">
        <v>1565.0</v>
      </c>
      <c r="E492" s="81">
        <v>1497.0</v>
      </c>
      <c r="F492" s="81">
        <v>2.0</v>
      </c>
    </row>
    <row r="493" ht="14.25" customHeight="1">
      <c r="A493" s="78"/>
      <c r="B493" s="83" t="s">
        <v>65</v>
      </c>
      <c r="C493" s="83">
        <v>11.84</v>
      </c>
      <c r="D493" s="78"/>
      <c r="E493" s="78"/>
      <c r="F493" s="83">
        <v>17.0</v>
      </c>
    </row>
    <row r="494" ht="14.25" customHeight="1">
      <c r="A494" s="78"/>
      <c r="B494" s="78"/>
      <c r="C494" s="78"/>
      <c r="D494" s="78"/>
      <c r="E494" s="78"/>
      <c r="F494" s="78"/>
    </row>
    <row r="495" ht="14.25" customHeight="1">
      <c r="A495" s="84" t="s">
        <v>119</v>
      </c>
      <c r="B495" s="78"/>
      <c r="C495" s="78"/>
      <c r="D495" s="78"/>
      <c r="E495" s="78"/>
      <c r="F495" s="78"/>
    </row>
    <row r="496" ht="14.25" customHeight="1">
      <c r="A496" s="79" t="s">
        <v>67</v>
      </c>
      <c r="B496" s="79" t="s">
        <v>68</v>
      </c>
      <c r="C496" s="78"/>
      <c r="D496" s="78"/>
      <c r="E496" s="78"/>
      <c r="F496" s="78"/>
    </row>
    <row r="497" ht="14.25" customHeight="1">
      <c r="A497" s="80" t="s">
        <v>70</v>
      </c>
      <c r="B497" s="81">
        <v>9.0</v>
      </c>
      <c r="C497" s="78"/>
      <c r="D497" s="78"/>
      <c r="E497" s="78"/>
      <c r="F497" s="78"/>
    </row>
    <row r="498" ht="14.25" customHeight="1">
      <c r="A498" s="80" t="s">
        <v>123</v>
      </c>
      <c r="B498" s="81">
        <v>7.0</v>
      </c>
      <c r="C498" s="78"/>
      <c r="D498" s="78"/>
      <c r="E498" s="78"/>
      <c r="F498" s="78"/>
    </row>
    <row r="499" ht="14.25" customHeight="1">
      <c r="A499" s="80" t="s">
        <v>120</v>
      </c>
      <c r="B499" s="81">
        <v>6.0</v>
      </c>
      <c r="C499" s="78"/>
      <c r="D499" s="78"/>
      <c r="E499" s="78"/>
      <c r="F499" s="78"/>
    </row>
    <row r="500" ht="14.25" customHeight="1">
      <c r="A500" s="80" t="s">
        <v>69</v>
      </c>
      <c r="B500" s="81">
        <v>4.0</v>
      </c>
      <c r="C500" s="78"/>
      <c r="D500" s="78"/>
      <c r="E500" s="78"/>
      <c r="F500" s="78"/>
    </row>
    <row r="501" ht="14.25" customHeight="1">
      <c r="A501" s="80" t="s">
        <v>122</v>
      </c>
      <c r="B501" s="81">
        <v>4.0</v>
      </c>
      <c r="C501" s="78"/>
      <c r="D501" s="78"/>
      <c r="E501" s="78"/>
      <c r="F501" s="78"/>
    </row>
    <row r="502" ht="14.25" customHeight="1">
      <c r="A502" s="80" t="s">
        <v>121</v>
      </c>
      <c r="B502" s="81">
        <v>2.0</v>
      </c>
      <c r="C502" s="78"/>
      <c r="D502" s="78"/>
      <c r="E502" s="78"/>
      <c r="F502" s="78"/>
    </row>
    <row r="503" ht="14.25" customHeight="1">
      <c r="A503" s="78"/>
      <c r="B503" s="83">
        <v>32.0</v>
      </c>
      <c r="C503" s="78"/>
      <c r="D503" s="78"/>
      <c r="E503" s="78"/>
      <c r="F503" s="78"/>
    </row>
    <row r="504" ht="14.25" customHeight="1">
      <c r="A504" s="78"/>
      <c r="B504" s="78"/>
      <c r="C504" s="78"/>
      <c r="D504" s="78"/>
      <c r="E504" s="78"/>
      <c r="F504" s="78"/>
    </row>
    <row r="505" ht="14.25" customHeight="1">
      <c r="A505" s="84" t="s">
        <v>124</v>
      </c>
      <c r="B505" s="78"/>
      <c r="C505" s="78"/>
      <c r="D505" s="78"/>
      <c r="E505" s="78"/>
      <c r="F505" s="78"/>
    </row>
    <row r="506" ht="14.25" customHeight="1">
      <c r="A506" s="79" t="s">
        <v>67</v>
      </c>
      <c r="B506" s="79" t="s">
        <v>73</v>
      </c>
      <c r="C506" s="79" t="s">
        <v>74</v>
      </c>
      <c r="D506" s="79" t="s">
        <v>75</v>
      </c>
      <c r="E506" s="79" t="s">
        <v>68</v>
      </c>
      <c r="F506" s="78"/>
    </row>
    <row r="507" ht="14.25" customHeight="1">
      <c r="A507" s="80" t="s">
        <v>70</v>
      </c>
      <c r="B507" s="81">
        <v>63.0</v>
      </c>
      <c r="C507" s="81">
        <v>6.0</v>
      </c>
      <c r="D507" s="81">
        <v>3.0</v>
      </c>
      <c r="E507" s="81">
        <v>72.0</v>
      </c>
      <c r="F507" s="78"/>
    </row>
    <row r="508" ht="14.25" customHeight="1">
      <c r="A508" s="80" t="s">
        <v>69</v>
      </c>
      <c r="B508" s="81">
        <v>15.0</v>
      </c>
      <c r="C508" s="81">
        <v>0.0</v>
      </c>
      <c r="D508" s="81">
        <v>0.0</v>
      </c>
      <c r="E508" s="81">
        <v>15.0</v>
      </c>
      <c r="F508" s="78"/>
    </row>
    <row r="509" ht="14.25" customHeight="1">
      <c r="A509" s="80" t="s">
        <v>122</v>
      </c>
      <c r="B509" s="81">
        <v>9.0</v>
      </c>
      <c r="C509" s="81">
        <v>0.0</v>
      </c>
      <c r="D509" s="81">
        <v>0.0</v>
      </c>
      <c r="E509" s="81">
        <v>9.0</v>
      </c>
      <c r="F509" s="78"/>
    </row>
    <row r="510" ht="14.25" customHeight="1">
      <c r="A510" s="80" t="s">
        <v>125</v>
      </c>
      <c r="B510" s="81">
        <v>6.0</v>
      </c>
      <c r="C510" s="81">
        <v>2.0</v>
      </c>
      <c r="D510" s="81">
        <v>0.0</v>
      </c>
      <c r="E510" s="81">
        <v>8.0</v>
      </c>
      <c r="F510" s="78"/>
    </row>
    <row r="511" ht="14.25" customHeight="1">
      <c r="A511" s="80" t="s">
        <v>120</v>
      </c>
      <c r="B511" s="81">
        <v>5.0</v>
      </c>
      <c r="C511" s="81">
        <v>1.0</v>
      </c>
      <c r="D511" s="81">
        <v>1.0</v>
      </c>
      <c r="E511" s="81">
        <v>7.0</v>
      </c>
      <c r="F511" s="78"/>
    </row>
    <row r="512" ht="14.25" customHeight="1">
      <c r="A512" s="80" t="s">
        <v>123</v>
      </c>
      <c r="B512" s="81">
        <v>5.0</v>
      </c>
      <c r="C512" s="81">
        <v>0.0</v>
      </c>
      <c r="D512" s="81">
        <v>0.0</v>
      </c>
      <c r="E512" s="81">
        <v>5.0</v>
      </c>
      <c r="F512" s="78"/>
    </row>
    <row r="513" ht="14.25" customHeight="1">
      <c r="A513" s="78"/>
      <c r="B513" s="78"/>
      <c r="C513" s="78"/>
      <c r="D513" s="78"/>
      <c r="E513" s="78"/>
      <c r="F513" s="78"/>
    </row>
    <row r="514" ht="14.25" customHeight="1">
      <c r="A514" s="84" t="s">
        <v>77</v>
      </c>
      <c r="B514" s="78"/>
      <c r="C514" s="78"/>
      <c r="D514" s="78"/>
      <c r="E514" s="78"/>
      <c r="F514" s="78"/>
    </row>
    <row r="515" ht="14.25" customHeight="1">
      <c r="A515" s="86" t="s">
        <v>79</v>
      </c>
      <c r="B515" s="86" t="s">
        <v>5</v>
      </c>
      <c r="C515" s="78"/>
      <c r="D515" s="78"/>
      <c r="E515" s="78"/>
      <c r="F515" s="78"/>
    </row>
    <row r="516" ht="14.25" customHeight="1">
      <c r="A516" s="87" t="s">
        <v>126</v>
      </c>
      <c r="B516" s="88">
        <v>7.0</v>
      </c>
      <c r="C516" s="78"/>
      <c r="D516" s="78"/>
      <c r="E516" s="78"/>
      <c r="F516" s="78"/>
    </row>
    <row r="517" ht="14.25" customHeight="1">
      <c r="A517" s="87" t="s">
        <v>83</v>
      </c>
      <c r="B517" s="88">
        <v>4.0</v>
      </c>
      <c r="C517" s="78"/>
      <c r="D517" s="78"/>
      <c r="E517" s="78"/>
      <c r="F517" s="78"/>
    </row>
    <row r="518" ht="14.25" customHeight="1">
      <c r="A518" s="87" t="s">
        <v>86</v>
      </c>
      <c r="B518" s="88">
        <v>3.0</v>
      </c>
      <c r="C518" s="78"/>
      <c r="D518" s="78"/>
      <c r="E518" s="78"/>
      <c r="F518" s="78"/>
    </row>
    <row r="519" ht="14.25" customHeight="1">
      <c r="A519" s="87" t="s">
        <v>84</v>
      </c>
      <c r="B519" s="88">
        <v>3.0</v>
      </c>
      <c r="C519" s="78"/>
      <c r="D519" s="78"/>
      <c r="E519" s="78"/>
      <c r="F519" s="78"/>
    </row>
    <row r="520" ht="14.25" customHeight="1">
      <c r="A520" s="87" t="s">
        <v>133</v>
      </c>
      <c r="B520" s="88">
        <v>2.0</v>
      </c>
      <c r="C520" s="78"/>
      <c r="D520" s="78"/>
      <c r="E520" s="78"/>
      <c r="F520" s="78"/>
    </row>
    <row r="521" ht="14.25" customHeight="1">
      <c r="A521" s="87" t="s">
        <v>88</v>
      </c>
      <c r="B521" s="88">
        <v>1.0</v>
      </c>
      <c r="C521" s="78"/>
      <c r="D521" s="78"/>
      <c r="E521" s="78"/>
      <c r="F521" s="78"/>
    </row>
    <row r="522" ht="14.25" customHeight="1">
      <c r="A522" s="78"/>
      <c r="B522" s="78"/>
      <c r="C522" s="78"/>
      <c r="D522" s="78"/>
      <c r="E522" s="78"/>
      <c r="F522" s="78"/>
    </row>
    <row r="523" ht="14.25" customHeight="1">
      <c r="A523" s="89" t="s">
        <v>127</v>
      </c>
      <c r="B523" s="132" t="s">
        <v>53</v>
      </c>
      <c r="C523" s="78"/>
      <c r="D523" s="78"/>
      <c r="E523" s="78"/>
      <c r="F523" s="78"/>
    </row>
    <row r="524" ht="14.25" customHeight="1">
      <c r="A524" s="89" t="s">
        <v>129</v>
      </c>
      <c r="B524" s="132" t="s">
        <v>54</v>
      </c>
      <c r="C524" s="78"/>
      <c r="D524" s="78"/>
      <c r="E524" s="78"/>
      <c r="F524" s="78"/>
    </row>
    <row r="525" ht="14.25" customHeight="1">
      <c r="A525" s="89" t="s">
        <v>131</v>
      </c>
      <c r="B525" s="132" t="s">
        <v>54</v>
      </c>
      <c r="C525" s="78"/>
      <c r="D525" s="78"/>
      <c r="E525" s="78"/>
      <c r="F525" s="78"/>
    </row>
    <row r="526" ht="14.25" customHeight="1">
      <c r="A526" s="89" t="s">
        <v>132</v>
      </c>
      <c r="B526" s="132" t="s">
        <v>54</v>
      </c>
      <c r="C526" s="78"/>
      <c r="D526" s="78"/>
      <c r="E526" s="78"/>
      <c r="F526" s="78"/>
    </row>
    <row r="527" ht="14.25" customHeight="1">
      <c r="A527" s="78"/>
      <c r="B527" s="78"/>
      <c r="C527" s="78"/>
      <c r="D527" s="78"/>
      <c r="E527" s="78"/>
      <c r="F527" s="78"/>
    </row>
    <row r="528" ht="14.25" customHeight="1">
      <c r="A528" s="93" t="s">
        <v>7</v>
      </c>
      <c r="B528" s="93" t="s">
        <v>53</v>
      </c>
      <c r="C528" s="78"/>
      <c r="D528" s="78"/>
      <c r="E528" s="78"/>
      <c r="F528" s="78"/>
    </row>
    <row r="529" ht="14.25" customHeight="1">
      <c r="A529" s="133" t="s">
        <v>0</v>
      </c>
      <c r="B529" s="133" t="s">
        <v>175</v>
      </c>
      <c r="C529" s="95">
        <v>1.0</v>
      </c>
      <c r="D529" s="78"/>
      <c r="E529" s="78"/>
      <c r="F529" s="78"/>
    </row>
    <row r="530" ht="14.25" customHeight="1">
      <c r="A530" s="78"/>
      <c r="B530" s="78"/>
      <c r="C530" s="78"/>
      <c r="D530" s="78"/>
      <c r="E530" s="78"/>
      <c r="F530" s="78"/>
    </row>
    <row r="531" ht="14.25" customHeight="1">
      <c r="A531" s="66" t="s">
        <v>1</v>
      </c>
      <c r="B531" s="44">
        <v>46212.0</v>
      </c>
      <c r="C531" s="78"/>
      <c r="D531" s="78"/>
      <c r="E531" s="78"/>
      <c r="F531" s="78"/>
    </row>
    <row r="532" ht="14.25" customHeight="1">
      <c r="A532" s="96" t="s">
        <v>3</v>
      </c>
      <c r="B532" s="13" t="s">
        <v>11</v>
      </c>
      <c r="C532" s="78"/>
      <c r="D532" s="78"/>
      <c r="E532" s="78"/>
      <c r="F532" s="78"/>
    </row>
    <row r="533" ht="14.25" customHeight="1">
      <c r="A533" s="96" t="s">
        <v>4</v>
      </c>
      <c r="B533" s="13" t="s">
        <v>21</v>
      </c>
      <c r="C533" s="78"/>
      <c r="D533" s="78"/>
      <c r="E533" s="78"/>
      <c r="F533" s="78"/>
    </row>
    <row r="534" ht="14.25" customHeight="1">
      <c r="A534" s="96" t="s">
        <v>5</v>
      </c>
      <c r="B534" s="13">
        <v>17.0</v>
      </c>
      <c r="C534" s="78"/>
      <c r="D534" s="78"/>
      <c r="E534" s="78"/>
      <c r="F534" s="78"/>
    </row>
    <row r="535" ht="14.25" customHeight="1">
      <c r="A535" s="96" t="s">
        <v>6</v>
      </c>
      <c r="B535" s="13" t="s">
        <v>33</v>
      </c>
      <c r="C535" s="78"/>
      <c r="D535" s="78"/>
      <c r="E535" s="78"/>
      <c r="F535" s="78"/>
    </row>
    <row r="536" ht="14.25" customHeight="1">
      <c r="A536" s="96" t="s">
        <v>7</v>
      </c>
      <c r="B536" s="13" t="s">
        <v>53</v>
      </c>
      <c r="C536" s="78"/>
      <c r="D536" s="78"/>
      <c r="E536" s="78"/>
      <c r="F536" s="78"/>
    </row>
    <row r="537" ht="14.25" customHeight="1">
      <c r="A537" s="96" t="s">
        <v>9</v>
      </c>
      <c r="B537" s="26">
        <v>0.11</v>
      </c>
      <c r="C537" s="78"/>
      <c r="D537" s="78"/>
      <c r="E537" s="78"/>
      <c r="F537" s="78"/>
    </row>
    <row r="538" ht="14.25" customHeight="1">
      <c r="A538" s="96" t="s">
        <v>18</v>
      </c>
      <c r="B538" s="13">
        <v>9.38</v>
      </c>
      <c r="C538" s="78"/>
      <c r="D538" s="78"/>
      <c r="E538" s="78"/>
      <c r="F538" s="78"/>
    </row>
    <row r="539" ht="14.25" customHeight="1">
      <c r="A539" s="96" t="s">
        <v>22</v>
      </c>
      <c r="B539" s="13" t="s">
        <v>53</v>
      </c>
      <c r="C539" s="78"/>
      <c r="D539" s="78"/>
      <c r="E539" s="78"/>
      <c r="F539" s="78"/>
    </row>
    <row r="540" ht="14.25" customHeight="1">
      <c r="A540" s="96" t="s">
        <v>29</v>
      </c>
      <c r="B540" s="39">
        <v>0.0588</v>
      </c>
      <c r="C540" s="78"/>
      <c r="D540" s="78"/>
      <c r="E540" s="78"/>
      <c r="F540" s="78"/>
    </row>
    <row r="541" ht="14.25" customHeight="1"/>
    <row r="542" ht="14.25" customHeight="1"/>
    <row r="543" ht="14.25" customHeight="1">
      <c r="A543" s="77" t="s">
        <v>184</v>
      </c>
      <c r="B543" s="78"/>
      <c r="C543" s="78"/>
      <c r="D543" s="78"/>
      <c r="E543" s="78"/>
      <c r="F543" s="78"/>
    </row>
    <row r="544" ht="14.25" customHeight="1">
      <c r="A544" s="79" t="s">
        <v>42</v>
      </c>
      <c r="B544" s="79" t="s">
        <v>44</v>
      </c>
      <c r="C544" s="79" t="s">
        <v>45</v>
      </c>
      <c r="D544" s="79" t="s">
        <v>46</v>
      </c>
      <c r="E544" s="79" t="s">
        <v>47</v>
      </c>
      <c r="F544" s="79" t="s">
        <v>111</v>
      </c>
    </row>
    <row r="545" ht="14.25" customHeight="1">
      <c r="A545" s="80" t="s">
        <v>50</v>
      </c>
      <c r="B545" s="81">
        <v>0.9325</v>
      </c>
      <c r="C545" s="81">
        <v>7.46</v>
      </c>
      <c r="D545" s="81">
        <v>5831.0</v>
      </c>
      <c r="E545" s="81">
        <v>4826.0</v>
      </c>
      <c r="F545" s="81">
        <v>8.0</v>
      </c>
    </row>
    <row r="546" ht="14.25" customHeight="1">
      <c r="A546" s="80" t="s">
        <v>56</v>
      </c>
      <c r="B546" s="81">
        <v>0.44</v>
      </c>
      <c r="C546" s="81">
        <v>1.32</v>
      </c>
      <c r="D546" s="81">
        <v>2456.0</v>
      </c>
      <c r="E546" s="81">
        <v>2456.0</v>
      </c>
      <c r="F546" s="81">
        <v>3.0</v>
      </c>
    </row>
    <row r="547" ht="14.25" customHeight="1">
      <c r="A547" s="80" t="s">
        <v>59</v>
      </c>
      <c r="B547" s="81">
        <v>0.695</v>
      </c>
      <c r="C547" s="81">
        <v>1.39</v>
      </c>
      <c r="D547" s="81">
        <v>2447.0</v>
      </c>
      <c r="E547" s="81">
        <v>2417.0</v>
      </c>
      <c r="F547" s="81">
        <v>2.0</v>
      </c>
    </row>
    <row r="548" ht="14.25" customHeight="1">
      <c r="A548" s="80" t="s">
        <v>61</v>
      </c>
      <c r="B548" s="81">
        <v>0.3475</v>
      </c>
      <c r="C548" s="81">
        <v>1.39</v>
      </c>
      <c r="D548" s="81">
        <v>1626.0</v>
      </c>
      <c r="E548" s="81">
        <v>1626.0</v>
      </c>
      <c r="F548" s="81">
        <v>4.0</v>
      </c>
    </row>
    <row r="549" ht="14.25" customHeight="1">
      <c r="A549" s="80" t="s">
        <v>63</v>
      </c>
      <c r="B549" s="81">
        <v>0.325</v>
      </c>
      <c r="C549" s="81">
        <v>1.3</v>
      </c>
      <c r="D549" s="81">
        <v>1896.0</v>
      </c>
      <c r="E549" s="81">
        <v>1777.0</v>
      </c>
      <c r="F549" s="81">
        <v>4.0</v>
      </c>
    </row>
    <row r="550" ht="14.25" customHeight="1">
      <c r="A550" s="78"/>
      <c r="B550" s="83" t="s">
        <v>65</v>
      </c>
      <c r="C550" s="83">
        <v>12.86</v>
      </c>
      <c r="D550" s="78"/>
      <c r="E550" s="78"/>
      <c r="F550" s="83">
        <v>21.0</v>
      </c>
    </row>
    <row r="551" ht="14.25" customHeight="1">
      <c r="A551" s="78"/>
      <c r="B551" s="78"/>
      <c r="C551" s="78"/>
      <c r="D551" s="78"/>
      <c r="E551" s="78"/>
      <c r="F551" s="78"/>
    </row>
    <row r="552" ht="14.25" customHeight="1">
      <c r="A552" s="84" t="s">
        <v>119</v>
      </c>
      <c r="B552" s="78"/>
      <c r="C552" s="78"/>
      <c r="D552" s="78"/>
      <c r="E552" s="78"/>
      <c r="F552" s="78"/>
    </row>
    <row r="553" ht="14.25" customHeight="1">
      <c r="A553" s="137" t="s">
        <v>67</v>
      </c>
      <c r="B553" s="137" t="s">
        <v>68</v>
      </c>
      <c r="C553" s="78"/>
      <c r="D553" s="78"/>
      <c r="E553" s="78"/>
      <c r="F553" s="78"/>
    </row>
    <row r="554" ht="14.25" customHeight="1">
      <c r="A554" s="80" t="s">
        <v>123</v>
      </c>
      <c r="B554" s="81">
        <v>6.0</v>
      </c>
      <c r="C554" s="78"/>
      <c r="D554" s="78"/>
      <c r="E554" s="78"/>
      <c r="F554" s="78"/>
    </row>
    <row r="555" ht="14.25" customHeight="1">
      <c r="A555" s="80" t="s">
        <v>70</v>
      </c>
      <c r="B555" s="81">
        <v>5.0</v>
      </c>
      <c r="C555" s="78"/>
      <c r="D555" s="78"/>
      <c r="E555" s="78"/>
      <c r="F555" s="78"/>
    </row>
    <row r="556" ht="14.25" customHeight="1">
      <c r="A556" s="80" t="s">
        <v>121</v>
      </c>
      <c r="B556" s="81">
        <v>4.0</v>
      </c>
      <c r="C556" s="78"/>
      <c r="D556" s="78"/>
      <c r="E556" s="78"/>
      <c r="F556" s="78"/>
    </row>
    <row r="557" ht="14.25" customHeight="1">
      <c r="A557" s="80" t="s">
        <v>120</v>
      </c>
      <c r="B557" s="81">
        <v>4.0</v>
      </c>
      <c r="C557" s="78"/>
      <c r="D557" s="78"/>
      <c r="E557" s="78"/>
      <c r="F557" s="78"/>
    </row>
    <row r="558" ht="14.25" customHeight="1">
      <c r="A558" s="80" t="s">
        <v>122</v>
      </c>
      <c r="B558" s="81">
        <v>4.0</v>
      </c>
      <c r="C558" s="78"/>
      <c r="D558" s="78"/>
      <c r="E558" s="78"/>
      <c r="F558" s="78"/>
    </row>
    <row r="559" ht="14.25" customHeight="1">
      <c r="A559" s="80" t="s">
        <v>69</v>
      </c>
      <c r="B559" s="81">
        <v>2.0</v>
      </c>
      <c r="C559" s="78"/>
      <c r="D559" s="78"/>
      <c r="E559" s="78"/>
      <c r="F559" s="78"/>
    </row>
    <row r="560" ht="14.25" customHeight="1">
      <c r="A560" s="78"/>
      <c r="B560" s="83">
        <v>25.0</v>
      </c>
      <c r="C560" s="78"/>
      <c r="D560" s="78"/>
      <c r="E560" s="78"/>
      <c r="F560" s="78"/>
    </row>
    <row r="561" ht="14.25" customHeight="1">
      <c r="A561" s="78"/>
      <c r="B561" s="78"/>
      <c r="C561" s="78"/>
      <c r="D561" s="78"/>
      <c r="E561" s="78"/>
      <c r="F561" s="78"/>
    </row>
    <row r="562" ht="14.25" customHeight="1">
      <c r="A562" s="84" t="s">
        <v>124</v>
      </c>
      <c r="B562" s="78"/>
      <c r="C562" s="78"/>
      <c r="D562" s="78"/>
      <c r="E562" s="78"/>
      <c r="F562" s="78"/>
    </row>
    <row r="563" ht="14.25" customHeight="1">
      <c r="A563" s="79" t="s">
        <v>67</v>
      </c>
      <c r="B563" s="79" t="s">
        <v>73</v>
      </c>
      <c r="C563" s="79" t="s">
        <v>74</v>
      </c>
      <c r="D563" s="79" t="s">
        <v>75</v>
      </c>
      <c r="E563" s="79" t="s">
        <v>68</v>
      </c>
      <c r="F563" s="78"/>
    </row>
    <row r="564" ht="14.25" customHeight="1">
      <c r="A564" s="80" t="s">
        <v>70</v>
      </c>
      <c r="B564" s="81">
        <v>10.0</v>
      </c>
      <c r="C564" s="81">
        <v>10.0</v>
      </c>
      <c r="D564" s="81">
        <v>6.0</v>
      </c>
      <c r="E564" s="81">
        <v>26.0</v>
      </c>
      <c r="F564" s="78"/>
    </row>
    <row r="565" ht="14.25" customHeight="1">
      <c r="A565" s="80" t="s">
        <v>120</v>
      </c>
      <c r="B565" s="81">
        <v>4.0</v>
      </c>
      <c r="C565" s="81">
        <v>1.0</v>
      </c>
      <c r="D565" s="81">
        <v>2.0</v>
      </c>
      <c r="E565" s="81">
        <v>7.0</v>
      </c>
      <c r="F565" s="78"/>
    </row>
    <row r="566" ht="14.25" customHeight="1">
      <c r="A566" s="80" t="s">
        <v>123</v>
      </c>
      <c r="B566" s="81">
        <v>3.0</v>
      </c>
      <c r="C566" s="81">
        <v>0.0</v>
      </c>
      <c r="D566" s="81">
        <v>0.0</v>
      </c>
      <c r="E566" s="81">
        <v>3.0</v>
      </c>
      <c r="F566" s="78"/>
    </row>
    <row r="567" ht="14.25" customHeight="1">
      <c r="A567" s="80" t="s">
        <v>121</v>
      </c>
      <c r="B567" s="81">
        <v>1.0</v>
      </c>
      <c r="C567" s="81">
        <v>2.0</v>
      </c>
      <c r="D567" s="81">
        <v>0.0</v>
      </c>
      <c r="E567" s="81">
        <v>3.0</v>
      </c>
      <c r="F567" s="78"/>
    </row>
    <row r="568" ht="14.25" customHeight="1">
      <c r="A568" s="80" t="s">
        <v>122</v>
      </c>
      <c r="B568" s="81">
        <v>1.0</v>
      </c>
      <c r="C568" s="81">
        <v>1.0</v>
      </c>
      <c r="D568" s="81">
        <v>0.0</v>
      </c>
      <c r="E568" s="81">
        <v>2.0</v>
      </c>
      <c r="F568" s="78"/>
    </row>
    <row r="569" ht="14.25" customHeight="1">
      <c r="A569" s="78"/>
      <c r="B569" s="78"/>
      <c r="C569" s="78"/>
      <c r="D569" s="78"/>
      <c r="E569" s="78"/>
      <c r="F569" s="78"/>
    </row>
    <row r="570" ht="14.25" customHeight="1">
      <c r="A570" s="84" t="s">
        <v>77</v>
      </c>
      <c r="B570" s="78"/>
      <c r="C570" s="78"/>
      <c r="D570" s="78"/>
      <c r="E570" s="78"/>
      <c r="F570" s="78"/>
    </row>
    <row r="571" ht="14.25" customHeight="1">
      <c r="A571" s="86" t="s">
        <v>79</v>
      </c>
      <c r="B571" s="86" t="s">
        <v>5</v>
      </c>
      <c r="C571" s="78"/>
      <c r="D571" s="78"/>
      <c r="E571" s="78"/>
      <c r="F571" s="78"/>
    </row>
    <row r="572" ht="14.25" customHeight="1">
      <c r="A572" s="87" t="s">
        <v>126</v>
      </c>
      <c r="B572" s="88">
        <v>6.0</v>
      </c>
      <c r="C572" s="78"/>
      <c r="D572" s="78"/>
      <c r="E572" s="78"/>
      <c r="F572" s="78"/>
    </row>
    <row r="573" ht="14.25" customHeight="1">
      <c r="A573" s="87" t="s">
        <v>133</v>
      </c>
      <c r="B573" s="88">
        <v>5.0</v>
      </c>
      <c r="C573" s="78"/>
      <c r="D573" s="78"/>
      <c r="E573" s="78"/>
      <c r="F573" s="78"/>
    </row>
    <row r="574" ht="14.25" customHeight="1">
      <c r="A574" s="87" t="s">
        <v>84</v>
      </c>
      <c r="B574" s="88">
        <v>4.0</v>
      </c>
      <c r="C574" s="78"/>
      <c r="D574" s="78"/>
      <c r="E574" s="78"/>
      <c r="F574" s="78"/>
    </row>
    <row r="575" ht="14.25" customHeight="1">
      <c r="A575" s="87" t="s">
        <v>83</v>
      </c>
      <c r="B575" s="88">
        <v>3.0</v>
      </c>
      <c r="C575" s="78"/>
      <c r="D575" s="78"/>
      <c r="E575" s="78"/>
      <c r="F575" s="78"/>
    </row>
    <row r="576" ht="14.25" customHeight="1">
      <c r="A576" s="87" t="s">
        <v>88</v>
      </c>
      <c r="B576" s="88">
        <v>3.0</v>
      </c>
      <c r="C576" s="78"/>
      <c r="D576" s="78"/>
      <c r="E576" s="78"/>
      <c r="F576" s="78"/>
    </row>
    <row r="577" ht="14.25" customHeight="1">
      <c r="A577" s="78"/>
      <c r="B577" s="78"/>
      <c r="C577" s="78"/>
      <c r="D577" s="78"/>
      <c r="E577" s="78"/>
      <c r="F577" s="78"/>
    </row>
    <row r="578" ht="14.25" customHeight="1">
      <c r="A578" s="89" t="s">
        <v>127</v>
      </c>
      <c r="B578" s="132" t="s">
        <v>54</v>
      </c>
      <c r="C578" s="78"/>
      <c r="D578" s="78"/>
      <c r="E578" s="78"/>
      <c r="F578" s="78"/>
    </row>
    <row r="579" ht="14.25" customHeight="1">
      <c r="A579" s="89" t="s">
        <v>129</v>
      </c>
      <c r="B579" s="132" t="s">
        <v>54</v>
      </c>
      <c r="C579" s="78"/>
      <c r="D579" s="78"/>
      <c r="E579" s="78"/>
      <c r="F579" s="78"/>
    </row>
    <row r="580" ht="14.25" customHeight="1">
      <c r="A580" s="89" t="s">
        <v>131</v>
      </c>
      <c r="B580" s="132" t="s">
        <v>54</v>
      </c>
      <c r="C580" s="78"/>
      <c r="D580" s="78"/>
      <c r="E580" s="78"/>
      <c r="F580" s="78"/>
    </row>
    <row r="581" ht="14.25" customHeight="1">
      <c r="A581" s="89" t="s">
        <v>132</v>
      </c>
      <c r="B581" s="132" t="s">
        <v>54</v>
      </c>
      <c r="C581" s="78"/>
      <c r="D581" s="78"/>
      <c r="E581" s="78"/>
      <c r="F581" s="78"/>
    </row>
    <row r="582" ht="14.25" customHeight="1">
      <c r="A582" s="78"/>
      <c r="B582" s="78"/>
      <c r="C582" s="78"/>
      <c r="D582" s="78"/>
      <c r="E582" s="78"/>
      <c r="F582" s="78"/>
    </row>
    <row r="583" ht="14.25" customHeight="1">
      <c r="A583" s="93" t="s">
        <v>7</v>
      </c>
      <c r="B583" s="93" t="s">
        <v>54</v>
      </c>
      <c r="C583" s="78"/>
      <c r="D583" s="78"/>
      <c r="E583" s="78"/>
      <c r="F583" s="78"/>
    </row>
    <row r="584" ht="14.25" customHeight="1">
      <c r="A584" s="133" t="s">
        <v>0</v>
      </c>
      <c r="B584" s="133" t="s">
        <v>175</v>
      </c>
      <c r="C584" s="95">
        <v>1.0</v>
      </c>
      <c r="D584" s="78"/>
      <c r="E584" s="78"/>
      <c r="F584" s="78"/>
    </row>
    <row r="585" ht="14.25" customHeight="1">
      <c r="A585" s="78"/>
      <c r="B585" s="78"/>
      <c r="C585" s="78"/>
      <c r="D585" s="78"/>
      <c r="E585" s="78"/>
      <c r="F585" s="78"/>
    </row>
    <row r="586" ht="14.25" customHeight="1">
      <c r="A586" s="66" t="s">
        <v>1</v>
      </c>
      <c r="B586" s="44">
        <v>46213.0</v>
      </c>
      <c r="C586" s="78"/>
      <c r="D586" s="78"/>
      <c r="E586" s="78"/>
      <c r="F586" s="78"/>
    </row>
    <row r="587" ht="14.25" customHeight="1">
      <c r="A587" s="96" t="s">
        <v>3</v>
      </c>
      <c r="B587" s="13" t="s">
        <v>12</v>
      </c>
      <c r="C587" s="78"/>
      <c r="D587" s="78"/>
      <c r="E587" s="78"/>
      <c r="F587" s="78"/>
    </row>
    <row r="588" ht="14.25" customHeight="1">
      <c r="A588" s="96" t="s">
        <v>4</v>
      </c>
      <c r="B588" s="13" t="s">
        <v>23</v>
      </c>
      <c r="C588" s="78"/>
      <c r="D588" s="78"/>
      <c r="E588" s="78"/>
      <c r="F588" s="78"/>
    </row>
    <row r="589" ht="14.25" customHeight="1">
      <c r="A589" s="96" t="s">
        <v>5</v>
      </c>
      <c r="B589" s="13">
        <v>21.0</v>
      </c>
      <c r="C589" s="78"/>
      <c r="D589" s="78"/>
      <c r="E589" s="78"/>
      <c r="F589" s="78"/>
    </row>
    <row r="590" ht="14.25" customHeight="1">
      <c r="A590" s="96" t="s">
        <v>6</v>
      </c>
      <c r="B590" s="13" t="s">
        <v>34</v>
      </c>
      <c r="C590" s="78"/>
      <c r="D590" s="78"/>
      <c r="E590" s="78"/>
      <c r="F590" s="78"/>
    </row>
    <row r="591" ht="14.25" customHeight="1">
      <c r="A591" s="96" t="s">
        <v>7</v>
      </c>
      <c r="B591" s="13" t="s">
        <v>54</v>
      </c>
      <c r="C591" s="78"/>
      <c r="D591" s="78"/>
      <c r="E591" s="78"/>
      <c r="F591" s="78"/>
    </row>
    <row r="592" ht="14.25" customHeight="1">
      <c r="A592" s="96" t="s">
        <v>9</v>
      </c>
      <c r="B592" s="13" t="s">
        <v>64</v>
      </c>
      <c r="C592" s="78"/>
      <c r="D592" s="78"/>
      <c r="E592" s="78"/>
      <c r="F592" s="78"/>
    </row>
    <row r="593" ht="14.25" customHeight="1">
      <c r="A593" s="96" t="s">
        <v>18</v>
      </c>
      <c r="B593" s="13">
        <v>0.0</v>
      </c>
      <c r="C593" s="78"/>
      <c r="D593" s="78"/>
      <c r="E593" s="78"/>
      <c r="F593" s="78"/>
    </row>
    <row r="594" ht="14.25" customHeight="1">
      <c r="A594" s="96" t="s">
        <v>22</v>
      </c>
      <c r="B594" s="13" t="s">
        <v>54</v>
      </c>
      <c r="C594" s="78"/>
      <c r="D594" s="78"/>
      <c r="E594" s="78"/>
      <c r="F594" s="78"/>
    </row>
    <row r="595" ht="14.25" customHeight="1">
      <c r="A595" s="96" t="s">
        <v>29</v>
      </c>
      <c r="B595" s="39">
        <v>0.0476</v>
      </c>
      <c r="C595" s="78"/>
      <c r="D595" s="78"/>
      <c r="E595" s="78"/>
      <c r="F595" s="78"/>
    </row>
    <row r="596" ht="14.25" customHeight="1"/>
    <row r="597" ht="14.25" customHeight="1"/>
    <row r="598" ht="14.25" customHeight="1">
      <c r="A598" s="138" t="s">
        <v>185</v>
      </c>
      <c r="B598" s="78"/>
      <c r="C598" s="78"/>
      <c r="D598" s="78"/>
      <c r="E598" s="78"/>
      <c r="F598" s="78"/>
    </row>
    <row r="599" ht="14.25" customHeight="1">
      <c r="A599" s="79" t="s">
        <v>42</v>
      </c>
      <c r="B599" s="79" t="s">
        <v>44</v>
      </c>
      <c r="C599" s="79" t="s">
        <v>45</v>
      </c>
      <c r="D599" s="79" t="s">
        <v>46</v>
      </c>
      <c r="E599" s="79" t="s">
        <v>47</v>
      </c>
      <c r="F599" s="79" t="s">
        <v>111</v>
      </c>
    </row>
    <row r="600" ht="14.25" customHeight="1">
      <c r="A600" s="80" t="s">
        <v>50</v>
      </c>
      <c r="B600" s="81">
        <v>0.894</v>
      </c>
      <c r="C600" s="81">
        <v>8.94</v>
      </c>
      <c r="D600" s="81">
        <v>6818.0</v>
      </c>
      <c r="E600" s="81">
        <v>5465.0</v>
      </c>
      <c r="F600" s="81">
        <v>10.0</v>
      </c>
    </row>
    <row r="601" ht="14.25" customHeight="1">
      <c r="A601" s="80" t="s">
        <v>56</v>
      </c>
      <c r="B601" s="81">
        <v>0.25833333</v>
      </c>
      <c r="C601" s="81">
        <v>1.55</v>
      </c>
      <c r="D601" s="81">
        <v>2766.0</v>
      </c>
      <c r="E601" s="81">
        <v>2659.0</v>
      </c>
      <c r="F601" s="81">
        <v>6.0</v>
      </c>
    </row>
    <row r="602" ht="14.25" customHeight="1">
      <c r="A602" s="80" t="s">
        <v>59</v>
      </c>
      <c r="B602" s="81">
        <v>0.54</v>
      </c>
      <c r="C602" s="81">
        <v>1.62</v>
      </c>
      <c r="D602" s="81">
        <v>2150.0</v>
      </c>
      <c r="E602" s="81">
        <v>2150.0</v>
      </c>
      <c r="F602" s="81">
        <v>3.0</v>
      </c>
    </row>
    <row r="603" ht="14.25" customHeight="1">
      <c r="A603" s="80" t="s">
        <v>61</v>
      </c>
      <c r="B603" s="81">
        <v>0.58</v>
      </c>
      <c r="C603" s="81">
        <v>1.16</v>
      </c>
      <c r="D603" s="81">
        <v>1387.0</v>
      </c>
      <c r="E603" s="81">
        <v>1370.0</v>
      </c>
      <c r="F603" s="81">
        <v>2.0</v>
      </c>
    </row>
    <row r="604" ht="14.25" customHeight="1">
      <c r="A604" s="80" t="s">
        <v>63</v>
      </c>
      <c r="B604" s="81">
        <v>1.31</v>
      </c>
      <c r="C604" s="81">
        <v>1.31</v>
      </c>
      <c r="D604" s="81">
        <v>1726.0</v>
      </c>
      <c r="E604" s="81">
        <v>1709.0</v>
      </c>
      <c r="F604" s="81">
        <v>1.0</v>
      </c>
    </row>
    <row r="605" ht="14.25" customHeight="1">
      <c r="A605" s="78"/>
      <c r="B605" s="82" t="s">
        <v>65</v>
      </c>
      <c r="C605" s="82">
        <v>14.58</v>
      </c>
      <c r="D605" s="78"/>
      <c r="E605" s="78"/>
      <c r="F605" s="82">
        <v>22.0</v>
      </c>
    </row>
    <row r="606" ht="14.25" customHeight="1">
      <c r="A606" s="78"/>
      <c r="B606" s="78"/>
      <c r="C606" s="78"/>
      <c r="D606" s="78"/>
      <c r="E606" s="78"/>
      <c r="F606" s="78"/>
    </row>
    <row r="607" ht="14.25" customHeight="1">
      <c r="A607" s="84" t="s">
        <v>119</v>
      </c>
      <c r="B607" s="78"/>
      <c r="C607" s="78"/>
      <c r="D607" s="78"/>
      <c r="E607" s="78"/>
      <c r="F607" s="78"/>
    </row>
    <row r="608" ht="14.25" customHeight="1">
      <c r="A608" s="79" t="s">
        <v>67</v>
      </c>
      <c r="B608" s="79" t="s">
        <v>68</v>
      </c>
      <c r="C608" s="78"/>
      <c r="D608" s="78"/>
      <c r="E608" s="78"/>
      <c r="F608" s="78"/>
    </row>
    <row r="609" ht="14.25" customHeight="1">
      <c r="A609" s="80" t="s">
        <v>69</v>
      </c>
      <c r="B609" s="81">
        <v>5.0</v>
      </c>
      <c r="C609" s="78"/>
      <c r="D609" s="78"/>
      <c r="E609" s="78"/>
      <c r="F609" s="78"/>
    </row>
    <row r="610" ht="14.25" customHeight="1">
      <c r="A610" s="80" t="s">
        <v>121</v>
      </c>
      <c r="B610" s="81">
        <v>5.0</v>
      </c>
      <c r="C610" s="78"/>
      <c r="D610" s="78"/>
      <c r="E610" s="78"/>
      <c r="F610" s="78"/>
    </row>
    <row r="611" ht="14.25" customHeight="1">
      <c r="A611" s="80" t="s">
        <v>120</v>
      </c>
      <c r="B611" s="81">
        <v>5.0</v>
      </c>
      <c r="C611" s="78"/>
      <c r="D611" s="78"/>
      <c r="E611" s="78"/>
      <c r="F611" s="78"/>
    </row>
    <row r="612" ht="14.25" customHeight="1">
      <c r="A612" s="80" t="s">
        <v>122</v>
      </c>
      <c r="B612" s="81">
        <v>5.0</v>
      </c>
      <c r="C612" s="78"/>
      <c r="D612" s="78"/>
      <c r="E612" s="78"/>
      <c r="F612" s="78"/>
    </row>
    <row r="613" ht="14.25" customHeight="1">
      <c r="A613" s="80" t="s">
        <v>70</v>
      </c>
      <c r="B613" s="81">
        <v>3.0</v>
      </c>
      <c r="C613" s="78"/>
      <c r="D613" s="78"/>
      <c r="E613" s="78"/>
      <c r="F613" s="78"/>
    </row>
    <row r="614" ht="14.25" customHeight="1">
      <c r="A614" s="78"/>
      <c r="B614" s="83">
        <v>23.0</v>
      </c>
      <c r="C614" s="78"/>
      <c r="D614" s="78"/>
      <c r="E614" s="78"/>
      <c r="F614" s="78"/>
    </row>
    <row r="615" ht="14.25" customHeight="1">
      <c r="A615" s="78"/>
      <c r="B615" s="78"/>
      <c r="C615" s="78"/>
      <c r="D615" s="78"/>
      <c r="E615" s="78"/>
      <c r="F615" s="78"/>
    </row>
    <row r="616" ht="14.25" customHeight="1">
      <c r="A616" s="84" t="s">
        <v>124</v>
      </c>
      <c r="B616" s="78"/>
      <c r="C616" s="78"/>
      <c r="D616" s="78"/>
      <c r="E616" s="78"/>
      <c r="F616" s="78"/>
    </row>
    <row r="617" ht="14.25" customHeight="1">
      <c r="A617" s="79" t="s">
        <v>67</v>
      </c>
      <c r="B617" s="139" t="s">
        <v>73</v>
      </c>
      <c r="C617" s="139" t="s">
        <v>74</v>
      </c>
      <c r="D617" s="139" t="s">
        <v>75</v>
      </c>
      <c r="E617" s="139" t="s">
        <v>68</v>
      </c>
      <c r="F617" s="78"/>
    </row>
    <row r="618" ht="14.25" customHeight="1">
      <c r="A618" s="80" t="s">
        <v>70</v>
      </c>
      <c r="B618" s="81">
        <v>15.0</v>
      </c>
      <c r="C618" s="81">
        <v>0.0</v>
      </c>
      <c r="D618" s="81">
        <v>2.0</v>
      </c>
      <c r="E618" s="81">
        <v>17.0</v>
      </c>
      <c r="F618" s="78"/>
    </row>
    <row r="619" ht="14.25" customHeight="1">
      <c r="A619" s="80" t="s">
        <v>121</v>
      </c>
      <c r="B619" s="81">
        <v>7.0</v>
      </c>
      <c r="C619" s="81">
        <v>0.0</v>
      </c>
      <c r="D619" s="81">
        <v>7.0</v>
      </c>
      <c r="E619" s="81">
        <v>14.0</v>
      </c>
      <c r="F619" s="78"/>
    </row>
    <row r="620" ht="14.25" customHeight="1">
      <c r="A620" s="80" t="s">
        <v>120</v>
      </c>
      <c r="B620" s="81">
        <v>9.0</v>
      </c>
      <c r="C620" s="81">
        <v>0.0</v>
      </c>
      <c r="D620" s="81">
        <v>0.0</v>
      </c>
      <c r="E620" s="81">
        <v>9.0</v>
      </c>
      <c r="F620" s="78"/>
    </row>
    <row r="621" ht="14.25" customHeight="1">
      <c r="A621" s="80" t="s">
        <v>125</v>
      </c>
      <c r="B621" s="81">
        <v>4.0</v>
      </c>
      <c r="C621" s="81">
        <v>1.0</v>
      </c>
      <c r="D621" s="81">
        <v>0.0</v>
      </c>
      <c r="E621" s="81">
        <v>5.0</v>
      </c>
      <c r="F621" s="78"/>
    </row>
    <row r="622" ht="14.25" customHeight="1">
      <c r="A622" s="80" t="s">
        <v>69</v>
      </c>
      <c r="B622" s="81">
        <v>3.0</v>
      </c>
      <c r="C622" s="81">
        <v>0.0</v>
      </c>
      <c r="D622" s="81">
        <v>0.0</v>
      </c>
      <c r="E622" s="81">
        <v>3.0</v>
      </c>
      <c r="F622" s="78"/>
    </row>
    <row r="623" ht="14.25" customHeight="1">
      <c r="A623" s="80" t="s">
        <v>122</v>
      </c>
      <c r="B623" s="81">
        <v>1.0</v>
      </c>
      <c r="C623" s="81">
        <v>0.0</v>
      </c>
      <c r="D623" s="81">
        <v>0.0</v>
      </c>
      <c r="E623" s="81">
        <v>1.0</v>
      </c>
      <c r="F623" s="78"/>
    </row>
    <row r="624" ht="14.25" customHeight="1">
      <c r="A624" s="78"/>
      <c r="B624" s="78"/>
      <c r="C624" s="78"/>
      <c r="D624" s="78"/>
      <c r="E624" s="78"/>
      <c r="F624" s="78"/>
    </row>
    <row r="625" ht="14.25" customHeight="1">
      <c r="A625" s="84" t="s">
        <v>77</v>
      </c>
      <c r="B625" s="78"/>
      <c r="C625" s="78"/>
      <c r="D625" s="78"/>
      <c r="E625" s="78"/>
      <c r="F625" s="78"/>
    </row>
    <row r="626" ht="14.25" customHeight="1">
      <c r="A626" s="86" t="s">
        <v>79</v>
      </c>
      <c r="B626" s="86" t="s">
        <v>5</v>
      </c>
      <c r="C626" s="78"/>
      <c r="D626" s="78"/>
      <c r="E626" s="78"/>
      <c r="F626" s="78"/>
    </row>
    <row r="627" ht="14.25" customHeight="1">
      <c r="A627" s="87" t="s">
        <v>126</v>
      </c>
      <c r="B627" s="88">
        <v>8.0</v>
      </c>
      <c r="C627" s="78"/>
      <c r="D627" s="78"/>
      <c r="E627" s="78"/>
      <c r="F627" s="78"/>
    </row>
    <row r="628" ht="14.25" customHeight="1">
      <c r="A628" s="87" t="s">
        <v>133</v>
      </c>
      <c r="B628" s="88">
        <v>6.0</v>
      </c>
      <c r="C628" s="78"/>
      <c r="D628" s="78"/>
      <c r="E628" s="78"/>
      <c r="F628" s="78"/>
    </row>
    <row r="629" ht="14.25" customHeight="1">
      <c r="A629" s="87" t="s">
        <v>158</v>
      </c>
      <c r="B629" s="88">
        <v>5.0</v>
      </c>
      <c r="C629" s="78"/>
      <c r="D629" s="78"/>
      <c r="E629" s="78"/>
      <c r="F629" s="78"/>
    </row>
    <row r="630" ht="14.25" customHeight="1">
      <c r="A630" s="87" t="s">
        <v>88</v>
      </c>
      <c r="B630" s="88">
        <v>3.0</v>
      </c>
      <c r="C630" s="78"/>
      <c r="D630" s="78"/>
      <c r="E630" s="78"/>
      <c r="F630" s="78"/>
    </row>
    <row r="631" ht="14.25" customHeight="1">
      <c r="A631" s="87" t="s">
        <v>86</v>
      </c>
      <c r="B631" s="88">
        <v>2.0</v>
      </c>
      <c r="C631" s="78"/>
      <c r="D631" s="78"/>
      <c r="E631" s="78"/>
      <c r="F631" s="78"/>
    </row>
    <row r="632" ht="14.25" customHeight="1">
      <c r="A632" s="87" t="s">
        <v>83</v>
      </c>
      <c r="B632" s="88">
        <v>2.0</v>
      </c>
      <c r="C632" s="78"/>
      <c r="D632" s="78"/>
      <c r="E632" s="78"/>
      <c r="F632" s="78"/>
    </row>
    <row r="633" ht="14.25" customHeight="1">
      <c r="A633" s="87" t="s">
        <v>84</v>
      </c>
      <c r="B633" s="88">
        <v>1.0</v>
      </c>
      <c r="C633" s="78"/>
      <c r="D633" s="78"/>
      <c r="E633" s="78"/>
      <c r="F633" s="78"/>
    </row>
    <row r="634" ht="14.25" customHeight="1">
      <c r="A634" s="87" t="s">
        <v>87</v>
      </c>
      <c r="B634" s="88">
        <v>1.0</v>
      </c>
      <c r="C634" s="78"/>
      <c r="D634" s="78"/>
      <c r="E634" s="78"/>
      <c r="F634" s="78"/>
    </row>
    <row r="635" ht="14.25" customHeight="1">
      <c r="A635" s="87" t="s">
        <v>186</v>
      </c>
      <c r="B635" s="88">
        <v>1.0</v>
      </c>
      <c r="C635" s="78"/>
      <c r="D635" s="78"/>
      <c r="E635" s="78"/>
      <c r="F635" s="78"/>
    </row>
    <row r="636" ht="14.25" customHeight="1">
      <c r="A636" s="78"/>
      <c r="B636" s="78"/>
      <c r="C636" s="78"/>
      <c r="D636" s="78"/>
      <c r="E636" s="78"/>
      <c r="F636" s="78"/>
    </row>
    <row r="637" ht="14.25" customHeight="1">
      <c r="A637" s="89" t="s">
        <v>127</v>
      </c>
      <c r="B637" s="132" t="s">
        <v>54</v>
      </c>
      <c r="C637" s="78"/>
      <c r="D637" s="78"/>
      <c r="E637" s="78"/>
      <c r="F637" s="78"/>
    </row>
    <row r="638" ht="14.25" customHeight="1">
      <c r="A638" s="89" t="s">
        <v>129</v>
      </c>
      <c r="B638" s="132" t="s">
        <v>54</v>
      </c>
      <c r="C638" s="78"/>
      <c r="D638" s="78"/>
      <c r="E638" s="78"/>
      <c r="F638" s="78"/>
    </row>
    <row r="639" ht="14.25" customHeight="1">
      <c r="A639" s="89" t="s">
        <v>131</v>
      </c>
      <c r="B639" s="132">
        <v>219800.0</v>
      </c>
      <c r="C639" s="78"/>
      <c r="D639" s="78"/>
      <c r="E639" s="78"/>
      <c r="F639" s="78"/>
    </row>
    <row r="640" ht="14.25" customHeight="1">
      <c r="A640" s="89" t="s">
        <v>132</v>
      </c>
      <c r="B640" s="132" t="s">
        <v>54</v>
      </c>
      <c r="C640" s="78"/>
      <c r="D640" s="78"/>
      <c r="E640" s="78"/>
      <c r="F640" s="78"/>
    </row>
    <row r="641" ht="14.25" customHeight="1">
      <c r="A641" s="78"/>
      <c r="B641" s="78"/>
      <c r="C641" s="78"/>
      <c r="D641" s="78"/>
      <c r="E641" s="78"/>
      <c r="F641" s="78"/>
    </row>
    <row r="642" ht="14.25" customHeight="1">
      <c r="A642" s="93" t="s">
        <v>7</v>
      </c>
      <c r="B642" s="93" t="s">
        <v>54</v>
      </c>
      <c r="C642" s="78"/>
      <c r="D642" s="78"/>
      <c r="E642" s="78"/>
      <c r="F642" s="78"/>
    </row>
    <row r="643" ht="14.25" customHeight="1">
      <c r="A643" s="133" t="s">
        <v>0</v>
      </c>
      <c r="B643" s="133" t="s">
        <v>175</v>
      </c>
      <c r="C643" s="78"/>
      <c r="D643" s="78"/>
      <c r="E643" s="78"/>
      <c r="F643" s="78"/>
    </row>
    <row r="644" ht="14.25" customHeight="1">
      <c r="A644" s="78"/>
      <c r="B644" s="78"/>
      <c r="C644" s="78"/>
      <c r="D644" s="78"/>
      <c r="E644" s="78"/>
      <c r="F644" s="78"/>
    </row>
    <row r="645" ht="14.25" customHeight="1">
      <c r="A645" s="66" t="s">
        <v>1</v>
      </c>
      <c r="B645" s="44">
        <v>46214.0</v>
      </c>
      <c r="C645" s="78"/>
      <c r="D645" s="78"/>
      <c r="E645" s="78"/>
      <c r="F645" s="78"/>
    </row>
    <row r="646" ht="14.25" customHeight="1">
      <c r="A646" s="96" t="s">
        <v>3</v>
      </c>
      <c r="B646" s="13" t="s">
        <v>13</v>
      </c>
      <c r="C646" s="78"/>
      <c r="D646" s="78"/>
      <c r="E646" s="78"/>
      <c r="F646" s="78"/>
    </row>
    <row r="647" ht="14.25" customHeight="1">
      <c r="A647" s="96" t="s">
        <v>4</v>
      </c>
      <c r="B647" s="13" t="s">
        <v>24</v>
      </c>
      <c r="C647" s="78"/>
      <c r="D647" s="78"/>
      <c r="E647" s="78"/>
      <c r="F647" s="78"/>
    </row>
    <row r="648" ht="14.25" customHeight="1">
      <c r="A648" s="96" t="s">
        <v>5</v>
      </c>
      <c r="B648" s="13">
        <v>22.0</v>
      </c>
      <c r="C648" s="78"/>
      <c r="D648" s="78"/>
      <c r="E648" s="78"/>
      <c r="F648" s="78"/>
    </row>
    <row r="649" ht="14.25" customHeight="1">
      <c r="A649" s="96" t="s">
        <v>6</v>
      </c>
      <c r="B649" s="13" t="s">
        <v>35</v>
      </c>
      <c r="C649" s="78"/>
      <c r="D649" s="78"/>
      <c r="E649" s="78"/>
      <c r="F649" s="78"/>
    </row>
    <row r="650" ht="14.25" customHeight="1">
      <c r="A650" s="96" t="s">
        <v>7</v>
      </c>
      <c r="B650" s="13" t="s">
        <v>55</v>
      </c>
      <c r="C650" s="78"/>
      <c r="D650" s="78"/>
      <c r="E650" s="78"/>
      <c r="F650" s="78"/>
    </row>
    <row r="651" ht="14.25" customHeight="1">
      <c r="A651" s="96" t="s">
        <v>9</v>
      </c>
      <c r="B651" s="26">
        <v>0.24</v>
      </c>
      <c r="C651" s="78"/>
      <c r="D651" s="78"/>
      <c r="E651" s="78"/>
      <c r="F651" s="78"/>
    </row>
    <row r="652" ht="14.25" customHeight="1">
      <c r="A652" s="96" t="s">
        <v>18</v>
      </c>
      <c r="B652" s="13">
        <v>4.19</v>
      </c>
      <c r="C652" s="78"/>
      <c r="D652" s="78"/>
      <c r="E652" s="78"/>
      <c r="F652" s="78"/>
    </row>
    <row r="653" ht="14.25" customHeight="1">
      <c r="A653" s="96" t="s">
        <v>22</v>
      </c>
      <c r="B653" s="13" t="s">
        <v>55</v>
      </c>
      <c r="C653" s="78"/>
      <c r="D653" s="78"/>
      <c r="E653" s="78"/>
      <c r="F653" s="78"/>
    </row>
    <row r="654" ht="14.25" customHeight="1">
      <c r="A654" s="96" t="s">
        <v>29</v>
      </c>
      <c r="B654" s="39">
        <v>0.0455</v>
      </c>
      <c r="C654" s="78"/>
      <c r="D654" s="78"/>
      <c r="E654" s="78"/>
      <c r="F654" s="78"/>
    </row>
    <row r="655" ht="14.25" customHeight="1"/>
    <row r="656" ht="14.25" customHeight="1"/>
    <row r="657" ht="14.25" customHeight="1">
      <c r="A657" s="77" t="s">
        <v>187</v>
      </c>
      <c r="B657" s="78"/>
      <c r="C657" s="78"/>
      <c r="D657" s="78"/>
      <c r="E657" s="78"/>
      <c r="F657" s="78"/>
    </row>
    <row r="658" ht="14.25" customHeight="1">
      <c r="A658" s="79" t="s">
        <v>42</v>
      </c>
      <c r="B658" s="79" t="s">
        <v>44</v>
      </c>
      <c r="C658" s="79" t="s">
        <v>45</v>
      </c>
      <c r="D658" s="79" t="s">
        <v>46</v>
      </c>
      <c r="E658" s="79" t="s">
        <v>47</v>
      </c>
      <c r="F658" s="79" t="s">
        <v>111</v>
      </c>
    </row>
    <row r="659" ht="14.25" customHeight="1">
      <c r="A659" s="80" t="s">
        <v>50</v>
      </c>
      <c r="B659" s="81">
        <v>0.87333333</v>
      </c>
      <c r="C659" s="81">
        <v>7.86</v>
      </c>
      <c r="D659" s="81">
        <v>4405.0</v>
      </c>
      <c r="E659" s="81">
        <v>3690.0</v>
      </c>
      <c r="F659" s="81">
        <v>10.0</v>
      </c>
    </row>
    <row r="660" ht="14.25" customHeight="1">
      <c r="A660" s="80" t="s">
        <v>56</v>
      </c>
      <c r="B660" s="81">
        <v>1.58</v>
      </c>
      <c r="C660" s="81">
        <v>1.58</v>
      </c>
      <c r="D660" s="81">
        <v>2241.0</v>
      </c>
      <c r="E660" s="81">
        <v>2198.0</v>
      </c>
      <c r="F660" s="81">
        <v>1.0</v>
      </c>
    </row>
    <row r="661" ht="14.25" customHeight="1">
      <c r="A661" s="80" t="s">
        <v>59</v>
      </c>
      <c r="B661" s="81">
        <v>0.725</v>
      </c>
      <c r="C661" s="81">
        <v>1.45</v>
      </c>
      <c r="D661" s="81">
        <v>1751.0</v>
      </c>
      <c r="E661" s="81">
        <v>1704.0</v>
      </c>
      <c r="F661" s="81">
        <v>2.0</v>
      </c>
    </row>
    <row r="662" ht="14.25" customHeight="1">
      <c r="A662" s="80" t="s">
        <v>61</v>
      </c>
      <c r="B662" s="81">
        <v>0.84</v>
      </c>
      <c r="C662" s="81">
        <v>1.68</v>
      </c>
      <c r="D662" s="81">
        <v>1819.0</v>
      </c>
      <c r="E662" s="81">
        <v>1819.0</v>
      </c>
      <c r="F662" s="81">
        <v>2.0</v>
      </c>
    </row>
    <row r="663" ht="14.25" customHeight="1">
      <c r="A663" s="80" t="s">
        <v>63</v>
      </c>
      <c r="B663" s="81">
        <v>0.56</v>
      </c>
      <c r="C663" s="81">
        <v>1.68</v>
      </c>
      <c r="D663" s="81">
        <v>2137.0</v>
      </c>
      <c r="E663" s="81">
        <v>1966.0</v>
      </c>
      <c r="F663" s="81">
        <v>4.0</v>
      </c>
    </row>
    <row r="664" ht="14.25" customHeight="1">
      <c r="A664" s="78"/>
      <c r="B664" s="82" t="s">
        <v>65</v>
      </c>
      <c r="C664" s="82">
        <v>14.25</v>
      </c>
      <c r="D664" s="78"/>
      <c r="E664" s="78"/>
      <c r="F664" s="83">
        <v>19.0</v>
      </c>
    </row>
    <row r="665" ht="14.25" customHeight="1">
      <c r="A665" s="78"/>
      <c r="B665" s="78"/>
      <c r="C665" s="78"/>
      <c r="D665" s="78"/>
      <c r="E665" s="78"/>
      <c r="F665" s="78"/>
    </row>
    <row r="666" ht="14.25" customHeight="1">
      <c r="A666" s="84" t="s">
        <v>119</v>
      </c>
      <c r="B666" s="78"/>
      <c r="C666" s="78"/>
      <c r="D666" s="78"/>
      <c r="E666" s="78"/>
      <c r="F666" s="78"/>
    </row>
    <row r="667" ht="14.25" customHeight="1">
      <c r="A667" s="79" t="s">
        <v>67</v>
      </c>
      <c r="B667" s="79" t="s">
        <v>68</v>
      </c>
      <c r="C667" s="78"/>
      <c r="D667" s="78"/>
      <c r="E667" s="78"/>
      <c r="F667" s="78"/>
    </row>
    <row r="668" ht="14.25" customHeight="1">
      <c r="A668" s="80" t="s">
        <v>120</v>
      </c>
      <c r="B668" s="81">
        <v>5.0</v>
      </c>
      <c r="C668" s="78"/>
      <c r="D668" s="78"/>
      <c r="E668" s="78"/>
      <c r="F668" s="78"/>
    </row>
    <row r="669" ht="14.25" customHeight="1">
      <c r="A669" s="80" t="s">
        <v>122</v>
      </c>
      <c r="B669" s="81">
        <v>5.0</v>
      </c>
      <c r="C669" s="78"/>
      <c r="D669" s="78"/>
      <c r="E669" s="78"/>
      <c r="F669" s="78"/>
    </row>
    <row r="670" ht="14.25" customHeight="1">
      <c r="A670" s="80" t="s">
        <v>69</v>
      </c>
      <c r="B670" s="81">
        <v>4.0</v>
      </c>
      <c r="C670" s="78"/>
      <c r="D670" s="78"/>
      <c r="E670" s="78"/>
      <c r="F670" s="78"/>
    </row>
    <row r="671" ht="14.25" customHeight="1">
      <c r="A671" s="80" t="s">
        <v>121</v>
      </c>
      <c r="B671" s="81">
        <v>4.0</v>
      </c>
      <c r="C671" s="78"/>
      <c r="D671" s="78"/>
      <c r="E671" s="78"/>
      <c r="F671" s="78"/>
    </row>
    <row r="672" ht="14.25" customHeight="1">
      <c r="A672" s="78"/>
      <c r="B672" s="83">
        <v>18.0</v>
      </c>
      <c r="C672" s="78"/>
      <c r="D672" s="78"/>
      <c r="E672" s="78"/>
      <c r="F672" s="78"/>
    </row>
    <row r="673" ht="14.25" customHeight="1">
      <c r="A673" s="78"/>
      <c r="B673" s="78"/>
      <c r="C673" s="78"/>
      <c r="D673" s="78"/>
      <c r="E673" s="78"/>
      <c r="F673" s="78"/>
    </row>
    <row r="674" ht="14.25" customHeight="1">
      <c r="A674" s="84" t="s">
        <v>124</v>
      </c>
      <c r="B674" s="78"/>
      <c r="C674" s="78"/>
      <c r="D674" s="78"/>
      <c r="E674" s="78"/>
      <c r="F674" s="78"/>
    </row>
    <row r="675" ht="14.25" customHeight="1">
      <c r="A675" s="79" t="s">
        <v>67</v>
      </c>
      <c r="B675" s="139" t="s">
        <v>73</v>
      </c>
      <c r="C675" s="139" t="s">
        <v>74</v>
      </c>
      <c r="D675" s="139" t="s">
        <v>75</v>
      </c>
      <c r="E675" s="139" t="s">
        <v>68</v>
      </c>
      <c r="F675" s="78"/>
    </row>
    <row r="676" ht="14.25" customHeight="1">
      <c r="A676" s="80" t="s">
        <v>121</v>
      </c>
      <c r="B676" s="81">
        <v>11.0</v>
      </c>
      <c r="C676" s="81">
        <v>0.0</v>
      </c>
      <c r="D676" s="81">
        <v>0.0</v>
      </c>
      <c r="E676" s="81">
        <v>11.0</v>
      </c>
      <c r="F676" s="78"/>
    </row>
    <row r="677" ht="14.25" customHeight="1">
      <c r="A677" s="80" t="s">
        <v>122</v>
      </c>
      <c r="B677" s="81">
        <v>0.0</v>
      </c>
      <c r="C677" s="81">
        <v>0.0</v>
      </c>
      <c r="D677" s="81">
        <v>1.0</v>
      </c>
      <c r="E677" s="81">
        <v>1.0</v>
      </c>
      <c r="F677" s="78"/>
    </row>
    <row r="678" ht="14.25" customHeight="1">
      <c r="A678" s="78"/>
      <c r="B678" s="78"/>
      <c r="C678" s="78"/>
      <c r="D678" s="78"/>
      <c r="E678" s="78"/>
      <c r="F678" s="78"/>
    </row>
    <row r="679" ht="14.25" customHeight="1">
      <c r="A679" s="84" t="s">
        <v>77</v>
      </c>
      <c r="B679" s="78"/>
      <c r="C679" s="78"/>
      <c r="D679" s="78"/>
      <c r="E679" s="78"/>
      <c r="F679" s="78"/>
    </row>
    <row r="680" ht="14.25" customHeight="1">
      <c r="A680" s="86" t="s">
        <v>79</v>
      </c>
      <c r="B680" s="86" t="s">
        <v>5</v>
      </c>
      <c r="C680" s="78"/>
      <c r="D680" s="78"/>
      <c r="E680" s="78"/>
      <c r="F680" s="78"/>
    </row>
    <row r="681" ht="14.25" customHeight="1">
      <c r="A681" s="87" t="s">
        <v>133</v>
      </c>
      <c r="B681" s="88">
        <v>5.0</v>
      </c>
      <c r="C681" s="78"/>
      <c r="D681" s="78"/>
      <c r="E681" s="78"/>
      <c r="F681" s="78"/>
    </row>
    <row r="682" ht="14.25" customHeight="1">
      <c r="A682" s="87" t="s">
        <v>86</v>
      </c>
      <c r="B682" s="88">
        <v>4.0</v>
      </c>
      <c r="C682" s="78"/>
      <c r="D682" s="78"/>
      <c r="E682" s="78"/>
      <c r="F682" s="78"/>
    </row>
    <row r="683" ht="14.25" customHeight="1">
      <c r="A683" s="87" t="s">
        <v>158</v>
      </c>
      <c r="B683" s="88">
        <v>3.0</v>
      </c>
      <c r="C683" s="78"/>
      <c r="D683" s="78"/>
      <c r="E683" s="78"/>
      <c r="F683" s="78"/>
    </row>
    <row r="684" ht="14.25" customHeight="1">
      <c r="A684" s="87" t="s">
        <v>84</v>
      </c>
      <c r="B684" s="88">
        <v>2.0</v>
      </c>
      <c r="C684" s="78"/>
      <c r="D684" s="78"/>
      <c r="E684" s="78"/>
      <c r="F684" s="78"/>
    </row>
    <row r="685" ht="14.25" customHeight="1">
      <c r="A685" s="87" t="s">
        <v>83</v>
      </c>
      <c r="B685" s="88">
        <v>1.0</v>
      </c>
      <c r="C685" s="78"/>
      <c r="D685" s="78"/>
      <c r="E685" s="78"/>
      <c r="F685" s="78"/>
    </row>
    <row r="686" ht="14.25" customHeight="1">
      <c r="A686" s="78"/>
      <c r="B686" s="78"/>
      <c r="C686" s="78"/>
      <c r="D686" s="78"/>
      <c r="E686" s="78"/>
      <c r="F686" s="78"/>
    </row>
    <row r="687" ht="14.25" customHeight="1">
      <c r="A687" s="89" t="s">
        <v>127</v>
      </c>
      <c r="B687" s="132" t="s">
        <v>54</v>
      </c>
      <c r="C687" s="78"/>
      <c r="D687" s="78"/>
      <c r="E687" s="78"/>
      <c r="F687" s="78"/>
    </row>
    <row r="688" ht="14.25" customHeight="1">
      <c r="A688" s="89" t="s">
        <v>129</v>
      </c>
      <c r="B688" s="132" t="s">
        <v>54</v>
      </c>
      <c r="C688" s="78"/>
      <c r="D688" s="78"/>
      <c r="E688" s="78"/>
      <c r="F688" s="78"/>
    </row>
    <row r="689" ht="14.25" customHeight="1">
      <c r="A689" s="89" t="s">
        <v>131</v>
      </c>
      <c r="B689" s="132" t="s">
        <v>54</v>
      </c>
      <c r="C689" s="78"/>
      <c r="D689" s="78"/>
      <c r="E689" s="78"/>
      <c r="F689" s="78"/>
    </row>
    <row r="690" ht="14.25" customHeight="1">
      <c r="A690" s="89" t="s">
        <v>132</v>
      </c>
      <c r="B690" s="132" t="s">
        <v>54</v>
      </c>
      <c r="C690" s="78"/>
      <c r="D690" s="78"/>
      <c r="E690" s="78"/>
      <c r="F690" s="78"/>
    </row>
    <row r="691" ht="14.25" customHeight="1">
      <c r="A691" s="78"/>
      <c r="B691" s="78"/>
      <c r="C691" s="78"/>
      <c r="D691" s="78"/>
      <c r="E691" s="78"/>
      <c r="F691" s="78"/>
    </row>
    <row r="692" ht="14.25" customHeight="1">
      <c r="A692" s="93" t="s">
        <v>7</v>
      </c>
      <c r="B692" s="93" t="s">
        <v>54</v>
      </c>
      <c r="C692" s="78"/>
      <c r="D692" s="78"/>
      <c r="E692" s="78"/>
      <c r="F692" s="78"/>
    </row>
    <row r="693" ht="14.25" customHeight="1">
      <c r="A693" s="133" t="s">
        <v>0</v>
      </c>
      <c r="B693" s="133" t="s">
        <v>175</v>
      </c>
      <c r="C693" s="78"/>
      <c r="D693" s="78"/>
      <c r="E693" s="78"/>
      <c r="F693" s="78"/>
    </row>
    <row r="694" ht="14.25" customHeight="1">
      <c r="A694" s="78"/>
      <c r="B694" s="78"/>
      <c r="C694" s="78"/>
      <c r="D694" s="78"/>
      <c r="E694" s="78"/>
      <c r="F694" s="78"/>
    </row>
    <row r="695" ht="14.25" customHeight="1">
      <c r="A695" s="66" t="s">
        <v>1</v>
      </c>
      <c r="B695" s="44">
        <v>46215.0</v>
      </c>
      <c r="C695" s="78"/>
      <c r="D695" s="78"/>
      <c r="E695" s="78"/>
      <c r="F695" s="78"/>
    </row>
    <row r="696" ht="14.25" customHeight="1">
      <c r="A696" s="96" t="s">
        <v>3</v>
      </c>
      <c r="B696" s="13" t="s">
        <v>14</v>
      </c>
      <c r="C696" s="78"/>
      <c r="D696" s="78"/>
      <c r="E696" s="78"/>
      <c r="F696" s="78"/>
    </row>
    <row r="697" ht="14.25" customHeight="1">
      <c r="A697" s="96" t="s">
        <v>4</v>
      </c>
      <c r="B697" s="13" t="s">
        <v>25</v>
      </c>
      <c r="C697" s="78"/>
      <c r="D697" s="78"/>
      <c r="E697" s="78"/>
      <c r="F697" s="78"/>
    </row>
    <row r="698" ht="14.25" customHeight="1">
      <c r="A698" s="96" t="s">
        <v>5</v>
      </c>
      <c r="B698" s="13">
        <v>19.0</v>
      </c>
      <c r="C698" s="78"/>
      <c r="D698" s="78"/>
      <c r="E698" s="78"/>
      <c r="F698" s="78"/>
    </row>
    <row r="699" ht="14.25" customHeight="1">
      <c r="A699" s="96" t="s">
        <v>6</v>
      </c>
      <c r="B699" s="13" t="s">
        <v>37</v>
      </c>
      <c r="C699" s="78"/>
      <c r="D699" s="78"/>
      <c r="E699" s="78"/>
      <c r="F699" s="78"/>
    </row>
    <row r="700" ht="14.25" customHeight="1">
      <c r="A700" s="96" t="s">
        <v>7</v>
      </c>
      <c r="B700" s="13" t="s">
        <v>54</v>
      </c>
      <c r="C700" s="78"/>
      <c r="D700" s="78"/>
      <c r="E700" s="78"/>
      <c r="F700" s="78"/>
    </row>
    <row r="701" ht="14.25" customHeight="1">
      <c r="A701" s="96" t="s">
        <v>9</v>
      </c>
      <c r="B701" s="13" t="s">
        <v>64</v>
      </c>
      <c r="C701" s="78"/>
      <c r="D701" s="78"/>
      <c r="E701" s="78"/>
      <c r="F701" s="78"/>
    </row>
    <row r="702" ht="14.25" customHeight="1">
      <c r="A702" s="96" t="s">
        <v>18</v>
      </c>
      <c r="B702" s="13">
        <v>0.0</v>
      </c>
      <c r="C702" s="78"/>
      <c r="D702" s="78"/>
      <c r="E702" s="78"/>
      <c r="F702" s="78"/>
    </row>
    <row r="703" ht="14.25" customHeight="1">
      <c r="A703" s="96" t="s">
        <v>22</v>
      </c>
      <c r="B703" s="13" t="s">
        <v>54</v>
      </c>
      <c r="C703" s="78"/>
      <c r="D703" s="78"/>
      <c r="E703" s="78"/>
      <c r="F703" s="78"/>
    </row>
    <row r="704" ht="14.25" customHeight="1">
      <c r="A704" s="96" t="s">
        <v>29</v>
      </c>
      <c r="B704" s="39">
        <v>0.0</v>
      </c>
      <c r="C704" s="78"/>
      <c r="D704" s="78"/>
      <c r="E704" s="78"/>
      <c r="F704" s="78"/>
    </row>
    <row r="705" ht="14.25" customHeight="1"/>
    <row r="706" ht="14.25" customHeight="1"/>
    <row r="707" ht="14.25" customHeight="1">
      <c r="A707" s="77" t="s">
        <v>188</v>
      </c>
      <c r="B707" s="78"/>
      <c r="C707" s="78"/>
      <c r="D707" s="78"/>
      <c r="E707" s="78"/>
      <c r="F707" s="78"/>
    </row>
    <row r="708" ht="14.25" customHeight="1">
      <c r="A708" s="79" t="s">
        <v>42</v>
      </c>
      <c r="B708" s="79" t="s">
        <v>44</v>
      </c>
      <c r="C708" s="79" t="s">
        <v>45</v>
      </c>
      <c r="D708" s="79" t="s">
        <v>46</v>
      </c>
      <c r="E708" s="79" t="s">
        <v>47</v>
      </c>
      <c r="F708" s="79" t="s">
        <v>111</v>
      </c>
    </row>
    <row r="709" ht="14.25" customHeight="1">
      <c r="A709" s="80" t="s">
        <v>50</v>
      </c>
      <c r="B709" s="81">
        <v>1.0825</v>
      </c>
      <c r="C709" s="81">
        <v>8.66</v>
      </c>
      <c r="D709" s="81">
        <v>5015.0</v>
      </c>
      <c r="E709" s="81">
        <v>4068.0</v>
      </c>
      <c r="F709" s="81">
        <v>9.0</v>
      </c>
    </row>
    <row r="710" ht="14.25" customHeight="1">
      <c r="A710" s="80" t="s">
        <v>56</v>
      </c>
      <c r="B710" s="81">
        <v>0.865</v>
      </c>
      <c r="C710" s="81">
        <v>1.73</v>
      </c>
      <c r="D710" s="81">
        <v>3006.0</v>
      </c>
      <c r="E710" s="81">
        <v>2901.0</v>
      </c>
      <c r="F710" s="81">
        <v>2.0</v>
      </c>
    </row>
    <row r="711" ht="14.25" customHeight="1">
      <c r="A711" s="80" t="s">
        <v>59</v>
      </c>
      <c r="B711" s="81">
        <v>0.4425</v>
      </c>
      <c r="C711" s="81">
        <v>1.77</v>
      </c>
      <c r="D711" s="81">
        <v>3505.0</v>
      </c>
      <c r="E711" s="81">
        <v>3393.0</v>
      </c>
      <c r="F711" s="81">
        <v>4.0</v>
      </c>
    </row>
    <row r="712" ht="14.25" customHeight="1">
      <c r="A712" s="80" t="s">
        <v>61</v>
      </c>
      <c r="B712" s="81">
        <v>0.91</v>
      </c>
      <c r="C712" s="81">
        <v>1.82</v>
      </c>
      <c r="D712" s="81">
        <v>2192.0</v>
      </c>
      <c r="E712" s="81">
        <v>2121.0</v>
      </c>
      <c r="F712" s="81">
        <v>2.0</v>
      </c>
    </row>
    <row r="713" ht="14.25" customHeight="1">
      <c r="A713" s="80" t="s">
        <v>63</v>
      </c>
      <c r="B713" s="81">
        <v>0.485</v>
      </c>
      <c r="C713" s="81">
        <v>1.94</v>
      </c>
      <c r="D713" s="81">
        <v>2422.0</v>
      </c>
      <c r="E713" s="81">
        <v>2380.0</v>
      </c>
      <c r="F713" s="81">
        <v>5.0</v>
      </c>
    </row>
    <row r="714" ht="14.25" customHeight="1">
      <c r="A714" s="78"/>
      <c r="B714" s="82" t="s">
        <v>65</v>
      </c>
      <c r="C714" s="82">
        <v>15.92</v>
      </c>
      <c r="D714" s="78"/>
      <c r="E714" s="78"/>
      <c r="F714" s="83">
        <v>22.0</v>
      </c>
    </row>
    <row r="715" ht="14.25" customHeight="1">
      <c r="A715" s="78"/>
      <c r="B715" s="78"/>
      <c r="C715" s="78"/>
      <c r="D715" s="78"/>
      <c r="E715" s="78"/>
      <c r="F715" s="78"/>
    </row>
    <row r="716" ht="14.25" customHeight="1">
      <c r="A716" s="84" t="s">
        <v>119</v>
      </c>
      <c r="B716" s="78"/>
      <c r="C716" s="78"/>
      <c r="D716" s="78"/>
      <c r="E716" s="78"/>
      <c r="F716" s="78"/>
    </row>
    <row r="717" ht="14.25" customHeight="1">
      <c r="A717" s="79" t="s">
        <v>67</v>
      </c>
      <c r="B717" s="79" t="s">
        <v>68</v>
      </c>
      <c r="C717" s="78"/>
      <c r="D717" s="78"/>
      <c r="E717" s="78"/>
      <c r="F717" s="78"/>
    </row>
    <row r="718" ht="14.25" customHeight="1">
      <c r="A718" s="80" t="s">
        <v>69</v>
      </c>
      <c r="B718" s="81">
        <v>8.0</v>
      </c>
      <c r="C718" s="78"/>
      <c r="D718" s="78"/>
      <c r="E718" s="78"/>
      <c r="F718" s="78"/>
    </row>
    <row r="719" ht="14.25" customHeight="1">
      <c r="A719" s="80" t="s">
        <v>121</v>
      </c>
      <c r="B719" s="81">
        <v>6.0</v>
      </c>
      <c r="C719" s="78"/>
      <c r="D719" s="78"/>
      <c r="E719" s="78"/>
      <c r="F719" s="78"/>
    </row>
    <row r="720" ht="14.25" customHeight="1">
      <c r="A720" s="80" t="s">
        <v>120</v>
      </c>
      <c r="B720" s="81">
        <v>5.0</v>
      </c>
      <c r="C720" s="78"/>
      <c r="D720" s="78"/>
      <c r="E720" s="78"/>
      <c r="F720" s="78"/>
    </row>
    <row r="721" ht="14.25" customHeight="1">
      <c r="A721" s="80" t="s">
        <v>122</v>
      </c>
      <c r="B721" s="81">
        <v>3.0</v>
      </c>
      <c r="C721" s="78"/>
      <c r="D721" s="78"/>
      <c r="E721" s="78"/>
      <c r="F721" s="78"/>
    </row>
    <row r="722" ht="14.25" customHeight="1">
      <c r="A722" s="78"/>
      <c r="B722" s="83">
        <v>22.0</v>
      </c>
      <c r="C722" s="78"/>
      <c r="D722" s="78"/>
      <c r="E722" s="78"/>
      <c r="F722" s="78"/>
    </row>
    <row r="723" ht="14.25" customHeight="1">
      <c r="A723" s="78"/>
      <c r="B723" s="78"/>
      <c r="C723" s="78"/>
      <c r="D723" s="78"/>
      <c r="E723" s="78"/>
      <c r="F723" s="78"/>
    </row>
    <row r="724" ht="14.25" customHeight="1">
      <c r="A724" s="84" t="s">
        <v>124</v>
      </c>
      <c r="B724" s="78"/>
      <c r="C724" s="78"/>
      <c r="D724" s="78"/>
      <c r="E724" s="78"/>
      <c r="F724" s="78"/>
    </row>
    <row r="725" ht="14.25" customHeight="1">
      <c r="A725" s="79" t="s">
        <v>67</v>
      </c>
      <c r="B725" s="140" t="s">
        <v>73</v>
      </c>
      <c r="C725" s="140" t="s">
        <v>74</v>
      </c>
      <c r="D725" s="140" t="s">
        <v>75</v>
      </c>
      <c r="E725" s="140" t="s">
        <v>68</v>
      </c>
      <c r="F725" s="78"/>
    </row>
    <row r="726" ht="14.25" customHeight="1">
      <c r="A726" s="80" t="s">
        <v>69</v>
      </c>
      <c r="B726" s="81">
        <v>13.0</v>
      </c>
      <c r="C726" s="81">
        <v>5.0</v>
      </c>
      <c r="D726" s="81">
        <v>4.0</v>
      </c>
      <c r="E726" s="81">
        <v>22.0</v>
      </c>
      <c r="F726" s="78"/>
    </row>
    <row r="727" ht="14.25" customHeight="1">
      <c r="A727" s="80" t="s">
        <v>122</v>
      </c>
      <c r="B727" s="81">
        <v>8.0</v>
      </c>
      <c r="C727" s="81">
        <v>1.0</v>
      </c>
      <c r="D727" s="81">
        <v>1.0</v>
      </c>
      <c r="E727" s="81">
        <v>10.0</v>
      </c>
      <c r="F727" s="78"/>
    </row>
    <row r="728" ht="14.25" customHeight="1">
      <c r="A728" s="80" t="s">
        <v>121</v>
      </c>
      <c r="B728" s="81">
        <v>1.0</v>
      </c>
      <c r="C728" s="81">
        <v>2.0</v>
      </c>
      <c r="D728" s="81">
        <v>0.0</v>
      </c>
      <c r="E728" s="81">
        <v>3.0</v>
      </c>
      <c r="F728" s="78"/>
    </row>
    <row r="729" ht="14.25" customHeight="1">
      <c r="A729" s="78"/>
      <c r="B729" s="78"/>
      <c r="C729" s="78"/>
      <c r="D729" s="78"/>
      <c r="E729" s="78"/>
      <c r="F729" s="78"/>
    </row>
    <row r="730" ht="14.25" customHeight="1">
      <c r="A730" s="84" t="s">
        <v>77</v>
      </c>
      <c r="B730" s="78"/>
      <c r="C730" s="78"/>
      <c r="D730" s="78"/>
      <c r="E730" s="78"/>
      <c r="F730" s="78"/>
    </row>
    <row r="731" ht="14.25" customHeight="1">
      <c r="A731" s="86" t="s">
        <v>79</v>
      </c>
      <c r="B731" s="86" t="s">
        <v>5</v>
      </c>
      <c r="C731" s="78"/>
      <c r="D731" s="78"/>
      <c r="E731" s="78"/>
      <c r="F731" s="78"/>
    </row>
    <row r="732" ht="14.25" customHeight="1">
      <c r="A732" s="87" t="s">
        <v>133</v>
      </c>
      <c r="B732" s="88">
        <v>6.0</v>
      </c>
      <c r="C732" s="78"/>
      <c r="D732" s="78"/>
      <c r="E732" s="78"/>
      <c r="F732" s="78"/>
    </row>
    <row r="733" ht="14.25" customHeight="1">
      <c r="A733" s="87" t="s">
        <v>83</v>
      </c>
      <c r="B733" s="88">
        <v>3.0</v>
      </c>
      <c r="C733" s="78"/>
      <c r="D733" s="78"/>
      <c r="E733" s="78"/>
      <c r="F733" s="78"/>
    </row>
    <row r="734" ht="14.25" customHeight="1">
      <c r="A734" s="87" t="s">
        <v>158</v>
      </c>
      <c r="B734" s="88">
        <v>3.0</v>
      </c>
      <c r="C734" s="78"/>
      <c r="D734" s="78"/>
      <c r="E734" s="78"/>
      <c r="F734" s="78"/>
    </row>
    <row r="735" ht="14.25" customHeight="1">
      <c r="A735" s="87" t="s">
        <v>88</v>
      </c>
      <c r="B735" s="88">
        <v>3.0</v>
      </c>
      <c r="C735" s="78"/>
      <c r="D735" s="78"/>
      <c r="E735" s="78"/>
      <c r="F735" s="78"/>
    </row>
    <row r="736" ht="14.25" customHeight="1">
      <c r="A736" s="87" t="s">
        <v>126</v>
      </c>
      <c r="B736" s="88">
        <v>2.0</v>
      </c>
      <c r="C736" s="78"/>
      <c r="D736" s="78"/>
      <c r="E736" s="78"/>
      <c r="F736" s="78"/>
    </row>
    <row r="737" ht="14.25" customHeight="1">
      <c r="A737" s="87" t="s">
        <v>84</v>
      </c>
      <c r="B737" s="88">
        <v>1.0</v>
      </c>
      <c r="C737" s="78"/>
      <c r="D737" s="78"/>
      <c r="E737" s="78"/>
      <c r="F737" s="78"/>
    </row>
    <row r="738" ht="14.25" customHeight="1">
      <c r="A738" s="87" t="s">
        <v>86</v>
      </c>
      <c r="B738" s="88">
        <v>1.0</v>
      </c>
      <c r="C738" s="78"/>
      <c r="D738" s="78"/>
      <c r="E738" s="78"/>
      <c r="F738" s="78"/>
    </row>
    <row r="739" ht="14.25" customHeight="1">
      <c r="A739" s="78"/>
      <c r="B739" s="78"/>
      <c r="C739" s="78"/>
      <c r="D739" s="78"/>
      <c r="E739" s="78"/>
      <c r="F739" s="78"/>
    </row>
    <row r="740" ht="14.25" customHeight="1">
      <c r="A740" s="89" t="s">
        <v>127</v>
      </c>
      <c r="B740" s="132" t="s">
        <v>54</v>
      </c>
      <c r="C740" s="78"/>
      <c r="D740" s="78"/>
      <c r="E740" s="78"/>
      <c r="F740" s="78"/>
    </row>
    <row r="741" ht="14.25" customHeight="1">
      <c r="A741" s="89" t="s">
        <v>129</v>
      </c>
      <c r="B741" s="132" t="s">
        <v>54</v>
      </c>
      <c r="C741" s="78"/>
      <c r="D741" s="78"/>
      <c r="E741" s="78"/>
      <c r="F741" s="78"/>
    </row>
    <row r="742" ht="14.25" customHeight="1">
      <c r="A742" s="89" t="s">
        <v>131</v>
      </c>
      <c r="B742" s="132" t="s">
        <v>54</v>
      </c>
      <c r="C742" s="78"/>
      <c r="D742" s="78"/>
      <c r="E742" s="78"/>
      <c r="F742" s="78"/>
    </row>
    <row r="743" ht="14.25" customHeight="1">
      <c r="A743" s="89" t="s">
        <v>132</v>
      </c>
      <c r="B743" s="132" t="s">
        <v>54</v>
      </c>
      <c r="C743" s="78"/>
      <c r="D743" s="78"/>
      <c r="E743" s="78"/>
      <c r="F743" s="78"/>
    </row>
    <row r="744" ht="14.25" customHeight="1">
      <c r="A744" s="78"/>
      <c r="B744" s="78"/>
      <c r="C744" s="78"/>
      <c r="D744" s="78"/>
      <c r="E744" s="78"/>
      <c r="F744" s="78"/>
    </row>
    <row r="745" ht="14.25" customHeight="1">
      <c r="A745" s="93" t="s">
        <v>7</v>
      </c>
      <c r="B745" s="93" t="s">
        <v>54</v>
      </c>
      <c r="C745" s="78"/>
      <c r="D745" s="78"/>
      <c r="E745" s="78"/>
      <c r="F745" s="78"/>
    </row>
    <row r="746" ht="14.25" customHeight="1">
      <c r="A746" s="133" t="s">
        <v>0</v>
      </c>
      <c r="B746" s="133" t="s">
        <v>175</v>
      </c>
      <c r="C746" s="78"/>
      <c r="D746" s="78"/>
      <c r="E746" s="78"/>
      <c r="F746" s="78"/>
    </row>
    <row r="747" ht="14.25" customHeight="1">
      <c r="A747" s="78"/>
      <c r="B747" s="78"/>
      <c r="C747" s="78"/>
      <c r="D747" s="78"/>
      <c r="E747" s="78"/>
      <c r="F747" s="78"/>
    </row>
    <row r="748" ht="14.25" customHeight="1">
      <c r="A748" s="66" t="s">
        <v>1</v>
      </c>
      <c r="B748" s="44">
        <v>46216.0</v>
      </c>
      <c r="C748" s="78"/>
      <c r="D748" s="78"/>
      <c r="E748" s="78"/>
      <c r="F748" s="78"/>
    </row>
    <row r="749" ht="14.25" customHeight="1">
      <c r="A749" s="96" t="s">
        <v>3</v>
      </c>
      <c r="B749" s="13" t="s">
        <v>15</v>
      </c>
      <c r="C749" s="78"/>
      <c r="D749" s="78"/>
      <c r="E749" s="78"/>
      <c r="F749" s="78"/>
    </row>
    <row r="750" ht="14.25" customHeight="1">
      <c r="A750" s="96" t="s">
        <v>4</v>
      </c>
      <c r="B750" s="13" t="s">
        <v>26</v>
      </c>
      <c r="C750" s="78"/>
      <c r="D750" s="78"/>
      <c r="E750" s="78"/>
      <c r="F750" s="78"/>
    </row>
    <row r="751" ht="14.25" customHeight="1">
      <c r="A751" s="96" t="s">
        <v>5</v>
      </c>
      <c r="B751" s="13">
        <v>22.0</v>
      </c>
      <c r="C751" s="78"/>
      <c r="D751" s="78"/>
      <c r="E751" s="78"/>
      <c r="F751" s="78"/>
    </row>
    <row r="752" ht="14.25" customHeight="1">
      <c r="A752" s="96" t="s">
        <v>6</v>
      </c>
      <c r="B752" s="13" t="s">
        <v>38</v>
      </c>
      <c r="C752" s="78"/>
      <c r="D752" s="78"/>
      <c r="E752" s="78"/>
      <c r="F752" s="78"/>
    </row>
    <row r="753" ht="14.25" customHeight="1">
      <c r="A753" s="96" t="s">
        <v>7</v>
      </c>
      <c r="B753" s="13" t="s">
        <v>54</v>
      </c>
      <c r="C753" s="78"/>
      <c r="D753" s="78"/>
      <c r="E753" s="78"/>
      <c r="F753" s="78"/>
    </row>
    <row r="754" ht="14.25" customHeight="1">
      <c r="A754" s="96" t="s">
        <v>9</v>
      </c>
      <c r="B754" s="13" t="s">
        <v>64</v>
      </c>
      <c r="C754" s="78"/>
      <c r="D754" s="78"/>
      <c r="E754" s="78"/>
      <c r="F754" s="78"/>
    </row>
    <row r="755" ht="14.25" customHeight="1">
      <c r="A755" s="96" t="s">
        <v>18</v>
      </c>
      <c r="B755" s="13">
        <v>0.0</v>
      </c>
      <c r="C755" s="78"/>
      <c r="D755" s="78"/>
      <c r="E755" s="78"/>
      <c r="F755" s="78"/>
    </row>
    <row r="756" ht="14.25" customHeight="1">
      <c r="A756" s="96" t="s">
        <v>22</v>
      </c>
      <c r="B756" s="13" t="s">
        <v>54</v>
      </c>
      <c r="C756" s="78"/>
      <c r="D756" s="78"/>
      <c r="E756" s="78"/>
      <c r="F756" s="78"/>
    </row>
    <row r="757" ht="14.25" customHeight="1">
      <c r="A757" s="96" t="s">
        <v>29</v>
      </c>
      <c r="B757" s="39">
        <v>0.0</v>
      </c>
      <c r="C757" s="78"/>
      <c r="D757" s="78"/>
      <c r="E757" s="78"/>
      <c r="F757" s="78"/>
    </row>
    <row r="758" ht="14.25" customHeight="1"/>
    <row r="759" ht="14.25" customHeight="1"/>
    <row r="760" ht="14.25" customHeight="1">
      <c r="A760" s="77" t="s">
        <v>189</v>
      </c>
      <c r="B760" s="78"/>
      <c r="C760" s="78"/>
      <c r="D760" s="78"/>
      <c r="E760" s="78"/>
      <c r="F760" s="78"/>
    </row>
    <row r="761" ht="14.25" customHeight="1">
      <c r="A761" s="79" t="s">
        <v>42</v>
      </c>
      <c r="B761" s="79" t="s">
        <v>44</v>
      </c>
      <c r="C761" s="79" t="s">
        <v>45</v>
      </c>
      <c r="D761" s="79" t="s">
        <v>46</v>
      </c>
      <c r="E761" s="79" t="s">
        <v>47</v>
      </c>
      <c r="F761" s="79" t="s">
        <v>111</v>
      </c>
    </row>
    <row r="762" ht="14.25" customHeight="1">
      <c r="A762" s="80" t="s">
        <v>50</v>
      </c>
      <c r="B762" s="81">
        <v>0.714</v>
      </c>
      <c r="C762" s="81">
        <v>7.14</v>
      </c>
      <c r="D762" s="81">
        <v>5370.0</v>
      </c>
      <c r="E762" s="81">
        <v>4430.0</v>
      </c>
      <c r="F762" s="81">
        <v>11.0</v>
      </c>
    </row>
    <row r="763" ht="14.25" customHeight="1">
      <c r="A763" s="80" t="s">
        <v>56</v>
      </c>
      <c r="B763" s="81">
        <v>0.21166667</v>
      </c>
      <c r="C763" s="81">
        <v>1.27</v>
      </c>
      <c r="D763" s="81">
        <v>3382.0</v>
      </c>
      <c r="E763" s="81">
        <v>3251.0</v>
      </c>
      <c r="F763" s="81">
        <v>6.0</v>
      </c>
    </row>
    <row r="764" ht="14.25" customHeight="1">
      <c r="A764" s="80" t="s">
        <v>59</v>
      </c>
      <c r="B764" s="81">
        <v>0.3275</v>
      </c>
      <c r="C764" s="81">
        <v>1.31</v>
      </c>
      <c r="D764" s="81">
        <v>3569.0</v>
      </c>
      <c r="E764" s="81">
        <v>3569.0</v>
      </c>
      <c r="F764" s="81">
        <v>5.0</v>
      </c>
    </row>
    <row r="765" ht="14.25" customHeight="1">
      <c r="A765" s="80" t="s">
        <v>61</v>
      </c>
      <c r="B765" s="81">
        <v>0.43</v>
      </c>
      <c r="C765" s="81">
        <v>1.29</v>
      </c>
      <c r="D765" s="81">
        <v>2963.0</v>
      </c>
      <c r="E765" s="81">
        <v>2940.0</v>
      </c>
      <c r="F765" s="81">
        <v>3.0</v>
      </c>
    </row>
    <row r="766" ht="14.25" customHeight="1">
      <c r="A766" s="80" t="s">
        <v>63</v>
      </c>
      <c r="B766" s="81">
        <v>0.71</v>
      </c>
      <c r="C766" s="81">
        <v>1.42</v>
      </c>
      <c r="D766" s="81">
        <v>2258.0</v>
      </c>
      <c r="E766" s="81">
        <v>2227.0</v>
      </c>
      <c r="F766" s="81">
        <v>2.0</v>
      </c>
    </row>
    <row r="767" ht="14.25" customHeight="1">
      <c r="A767" s="78"/>
      <c r="B767" s="82" t="s">
        <v>65</v>
      </c>
      <c r="C767" s="82">
        <v>12.43</v>
      </c>
      <c r="D767" s="78"/>
      <c r="E767" s="78"/>
      <c r="F767" s="83">
        <v>27.0</v>
      </c>
    </row>
    <row r="768" ht="14.25" customHeight="1">
      <c r="A768" s="78"/>
      <c r="B768" s="78"/>
      <c r="C768" s="78"/>
      <c r="D768" s="78"/>
      <c r="E768" s="78"/>
      <c r="F768" s="78"/>
    </row>
    <row r="769" ht="14.25" customHeight="1">
      <c r="A769" s="84" t="s">
        <v>119</v>
      </c>
      <c r="B769" s="78"/>
      <c r="C769" s="78"/>
      <c r="D769" s="78"/>
      <c r="E769" s="78"/>
      <c r="F769" s="78"/>
    </row>
    <row r="770" ht="14.25" customHeight="1">
      <c r="A770" s="137" t="s">
        <v>67</v>
      </c>
      <c r="B770" s="137" t="s">
        <v>68</v>
      </c>
      <c r="C770" s="78"/>
      <c r="D770" s="78"/>
      <c r="E770" s="78"/>
      <c r="F770" s="78"/>
    </row>
    <row r="771" ht="14.25" customHeight="1">
      <c r="A771" s="80" t="s">
        <v>123</v>
      </c>
      <c r="B771" s="81">
        <v>10.0</v>
      </c>
      <c r="C771" s="78"/>
      <c r="D771" s="78"/>
      <c r="E771" s="78"/>
      <c r="F771" s="78"/>
    </row>
    <row r="772" ht="14.25" customHeight="1">
      <c r="A772" s="80" t="s">
        <v>121</v>
      </c>
      <c r="B772" s="81">
        <v>10.0</v>
      </c>
      <c r="C772" s="78"/>
      <c r="D772" s="78"/>
      <c r="E772" s="78"/>
      <c r="F772" s="78"/>
    </row>
    <row r="773" ht="14.25" customHeight="1">
      <c r="A773" s="80" t="s">
        <v>69</v>
      </c>
      <c r="B773" s="81">
        <v>8.0</v>
      </c>
      <c r="C773" s="78"/>
      <c r="D773" s="78"/>
      <c r="E773" s="78"/>
      <c r="F773" s="78"/>
    </row>
    <row r="774" ht="14.25" customHeight="1">
      <c r="A774" s="80" t="s">
        <v>70</v>
      </c>
      <c r="B774" s="81">
        <v>7.0</v>
      </c>
      <c r="C774" s="78"/>
      <c r="D774" s="78"/>
      <c r="E774" s="78"/>
      <c r="F774" s="78"/>
    </row>
    <row r="775" ht="14.25" customHeight="1">
      <c r="A775" s="80" t="s">
        <v>122</v>
      </c>
      <c r="B775" s="81">
        <v>7.0</v>
      </c>
      <c r="C775" s="78"/>
      <c r="D775" s="78"/>
      <c r="E775" s="78"/>
      <c r="F775" s="78"/>
    </row>
    <row r="776" ht="14.25" customHeight="1">
      <c r="A776" s="80" t="s">
        <v>120</v>
      </c>
      <c r="B776" s="81">
        <v>5.0</v>
      </c>
      <c r="C776" s="78"/>
      <c r="D776" s="78"/>
      <c r="E776" s="78"/>
      <c r="F776" s="78"/>
    </row>
    <row r="777" ht="14.25" customHeight="1">
      <c r="A777" s="78"/>
      <c r="B777" s="83">
        <v>47.0</v>
      </c>
      <c r="C777" s="78"/>
      <c r="D777" s="78"/>
      <c r="E777" s="78"/>
      <c r="F777" s="78"/>
    </row>
    <row r="778" ht="14.25" customHeight="1">
      <c r="A778" s="78"/>
      <c r="B778" s="78"/>
      <c r="C778" s="78"/>
      <c r="D778" s="78"/>
      <c r="E778" s="78"/>
      <c r="F778" s="78"/>
    </row>
    <row r="779" ht="14.25" customHeight="1">
      <c r="A779" s="84" t="s">
        <v>124</v>
      </c>
      <c r="B779" s="78"/>
      <c r="C779" s="78"/>
      <c r="D779" s="78"/>
      <c r="E779" s="78"/>
      <c r="F779" s="78"/>
    </row>
    <row r="780" ht="14.25" customHeight="1">
      <c r="A780" s="79" t="s">
        <v>67</v>
      </c>
      <c r="B780" s="140" t="s">
        <v>73</v>
      </c>
      <c r="C780" s="140" t="s">
        <v>74</v>
      </c>
      <c r="D780" s="140" t="s">
        <v>75</v>
      </c>
      <c r="E780" s="140" t="s">
        <v>68</v>
      </c>
      <c r="F780" s="78"/>
    </row>
    <row r="781" ht="14.25" customHeight="1">
      <c r="A781" s="80" t="s">
        <v>70</v>
      </c>
      <c r="B781" s="81">
        <v>73.0</v>
      </c>
      <c r="C781" s="81">
        <v>0.0</v>
      </c>
      <c r="D781" s="81">
        <v>9.0</v>
      </c>
      <c r="E781" s="81">
        <v>82.0</v>
      </c>
      <c r="F781" s="78"/>
    </row>
    <row r="782" ht="14.25" customHeight="1">
      <c r="A782" s="80" t="s">
        <v>123</v>
      </c>
      <c r="B782" s="81">
        <v>18.0</v>
      </c>
      <c r="C782" s="81">
        <v>0.0</v>
      </c>
      <c r="D782" s="81">
        <v>12.0</v>
      </c>
      <c r="E782" s="81">
        <v>30.0</v>
      </c>
      <c r="F782" s="78"/>
    </row>
    <row r="783" ht="14.25" customHeight="1">
      <c r="A783" s="80" t="s">
        <v>125</v>
      </c>
      <c r="B783" s="81">
        <v>8.0</v>
      </c>
      <c r="C783" s="81">
        <v>4.0</v>
      </c>
      <c r="D783" s="81">
        <v>11.0</v>
      </c>
      <c r="E783" s="81">
        <v>23.0</v>
      </c>
      <c r="F783" s="78"/>
    </row>
    <row r="784" ht="14.25" customHeight="1">
      <c r="A784" s="80" t="s">
        <v>69</v>
      </c>
      <c r="B784" s="81">
        <v>2.0</v>
      </c>
      <c r="C784" s="81">
        <v>0.0</v>
      </c>
      <c r="D784" s="81">
        <v>0.0</v>
      </c>
      <c r="E784" s="81">
        <v>2.0</v>
      </c>
      <c r="F784" s="78"/>
    </row>
    <row r="785" ht="14.25" customHeight="1">
      <c r="A785" s="80" t="s">
        <v>120</v>
      </c>
      <c r="B785" s="81">
        <v>0.0</v>
      </c>
      <c r="C785" s="81">
        <v>0.0</v>
      </c>
      <c r="D785" s="81">
        <v>1.0</v>
      </c>
      <c r="E785" s="81">
        <v>1.0</v>
      </c>
      <c r="F785" s="78"/>
    </row>
    <row r="786" ht="14.25" customHeight="1">
      <c r="A786" s="78"/>
      <c r="B786" s="78"/>
      <c r="C786" s="78"/>
      <c r="D786" s="78"/>
      <c r="E786" s="78"/>
      <c r="F786" s="78"/>
    </row>
    <row r="787" ht="14.25" customHeight="1">
      <c r="A787" s="84" t="s">
        <v>77</v>
      </c>
      <c r="B787" s="78"/>
      <c r="C787" s="78"/>
      <c r="D787" s="78"/>
      <c r="E787" s="78"/>
      <c r="F787" s="78"/>
    </row>
    <row r="788" ht="14.25" customHeight="1">
      <c r="A788" s="86" t="s">
        <v>79</v>
      </c>
      <c r="B788" s="86" t="s">
        <v>5</v>
      </c>
      <c r="C788" s="78"/>
      <c r="D788" s="78"/>
      <c r="E788" s="78"/>
      <c r="F788" s="78"/>
    </row>
    <row r="789" ht="14.25" customHeight="1">
      <c r="A789" s="87" t="s">
        <v>133</v>
      </c>
      <c r="B789" s="88">
        <v>13.0</v>
      </c>
      <c r="C789" s="78"/>
      <c r="D789" s="78"/>
      <c r="E789" s="78"/>
      <c r="F789" s="78"/>
    </row>
    <row r="790" ht="14.25" customHeight="1">
      <c r="A790" s="87" t="s">
        <v>126</v>
      </c>
      <c r="B790" s="88">
        <v>9.0</v>
      </c>
      <c r="C790" s="78"/>
      <c r="D790" s="78"/>
      <c r="E790" s="78"/>
      <c r="F790" s="78"/>
    </row>
    <row r="791" ht="14.25" customHeight="1">
      <c r="A791" s="87" t="s">
        <v>84</v>
      </c>
      <c r="B791" s="88">
        <v>6.0</v>
      </c>
      <c r="C791" s="78"/>
      <c r="D791" s="78"/>
      <c r="E791" s="78"/>
      <c r="F791" s="78"/>
    </row>
    <row r="792" ht="14.25" customHeight="1">
      <c r="A792" s="87" t="s">
        <v>88</v>
      </c>
      <c r="B792" s="88">
        <v>5.0</v>
      </c>
      <c r="C792" s="78"/>
      <c r="D792" s="78"/>
      <c r="E792" s="78"/>
      <c r="F792" s="78"/>
    </row>
    <row r="793" ht="14.25" customHeight="1">
      <c r="A793" s="87" t="s">
        <v>83</v>
      </c>
      <c r="B793" s="88">
        <v>3.0</v>
      </c>
      <c r="C793" s="78"/>
      <c r="D793" s="78"/>
      <c r="E793" s="78"/>
      <c r="F793" s="78"/>
    </row>
    <row r="794" ht="14.25" customHeight="1">
      <c r="A794" s="87" t="s">
        <v>86</v>
      </c>
      <c r="B794" s="88">
        <v>2.0</v>
      </c>
      <c r="C794" s="78"/>
      <c r="D794" s="78"/>
      <c r="E794" s="78"/>
      <c r="F794" s="78"/>
    </row>
    <row r="795" ht="14.25" customHeight="1">
      <c r="A795" s="87" t="s">
        <v>190</v>
      </c>
      <c r="B795" s="88">
        <v>1.0</v>
      </c>
      <c r="C795" s="78"/>
      <c r="D795" s="78"/>
      <c r="E795" s="78"/>
      <c r="F795" s="78"/>
    </row>
    <row r="796" ht="14.25" customHeight="1">
      <c r="A796" s="87" t="s">
        <v>191</v>
      </c>
      <c r="B796" s="88">
        <v>1.0</v>
      </c>
      <c r="C796" s="78"/>
      <c r="D796" s="78"/>
      <c r="E796" s="78"/>
      <c r="F796" s="78"/>
    </row>
    <row r="797" ht="14.25" customHeight="1">
      <c r="A797" s="87" t="s">
        <v>192</v>
      </c>
      <c r="B797" s="88">
        <v>1.0</v>
      </c>
      <c r="C797" s="78"/>
      <c r="D797" s="78"/>
      <c r="E797" s="78"/>
      <c r="F797" s="78"/>
    </row>
    <row r="798" ht="14.25" customHeight="1">
      <c r="A798" s="78"/>
      <c r="B798" s="78"/>
      <c r="C798" s="78"/>
      <c r="D798" s="78"/>
      <c r="E798" s="78"/>
      <c r="F798" s="78"/>
    </row>
    <row r="799" ht="14.25" customHeight="1">
      <c r="A799" s="89" t="s">
        <v>127</v>
      </c>
      <c r="B799" s="132" t="s">
        <v>57</v>
      </c>
      <c r="C799" s="78"/>
      <c r="D799" s="78"/>
      <c r="E799" s="78"/>
      <c r="F799" s="78"/>
    </row>
    <row r="800" ht="14.25" customHeight="1">
      <c r="A800" s="89" t="s">
        <v>129</v>
      </c>
      <c r="B800" s="132" t="s">
        <v>54</v>
      </c>
      <c r="C800" s="78"/>
      <c r="D800" s="78"/>
      <c r="E800" s="78"/>
      <c r="F800" s="78"/>
    </row>
    <row r="801" ht="14.25" customHeight="1">
      <c r="A801" s="89" t="s">
        <v>131</v>
      </c>
      <c r="B801" s="132" t="s">
        <v>54</v>
      </c>
      <c r="C801" s="78"/>
      <c r="D801" s="78"/>
      <c r="E801" s="78"/>
      <c r="F801" s="78"/>
    </row>
    <row r="802" ht="14.25" customHeight="1">
      <c r="A802" s="89" t="s">
        <v>132</v>
      </c>
      <c r="B802" s="132" t="s">
        <v>54</v>
      </c>
      <c r="C802" s="78"/>
      <c r="D802" s="78"/>
      <c r="E802" s="78"/>
      <c r="F802" s="78"/>
    </row>
    <row r="803" ht="14.25" customHeight="1">
      <c r="A803" s="78"/>
      <c r="B803" s="78"/>
      <c r="C803" s="78"/>
      <c r="D803" s="78"/>
      <c r="E803" s="78"/>
      <c r="F803" s="78"/>
    </row>
    <row r="804" ht="14.25" customHeight="1">
      <c r="A804" s="93" t="s">
        <v>7</v>
      </c>
      <c r="B804" s="93" t="s">
        <v>57</v>
      </c>
      <c r="C804" s="78"/>
      <c r="D804" s="78"/>
      <c r="E804" s="78"/>
      <c r="F804" s="78"/>
    </row>
    <row r="805" ht="14.25" customHeight="1">
      <c r="A805" s="133" t="s">
        <v>0</v>
      </c>
      <c r="B805" s="133" t="s">
        <v>175</v>
      </c>
      <c r="C805" s="95">
        <v>1.0</v>
      </c>
      <c r="D805" s="78"/>
      <c r="E805" s="78"/>
      <c r="F805" s="78"/>
    </row>
    <row r="806" ht="14.25" customHeight="1">
      <c r="A806" s="78"/>
      <c r="B806" s="78"/>
      <c r="C806" s="78"/>
      <c r="D806" s="78"/>
      <c r="E806" s="78"/>
      <c r="F806" s="78"/>
    </row>
    <row r="807" ht="14.25" customHeight="1">
      <c r="A807" s="66" t="s">
        <v>1</v>
      </c>
      <c r="B807" s="44">
        <v>46217.0</v>
      </c>
      <c r="C807" s="78"/>
      <c r="D807" s="78"/>
      <c r="E807" s="78"/>
      <c r="F807" s="78"/>
    </row>
    <row r="808" ht="14.25" customHeight="1">
      <c r="A808" s="96" t="s">
        <v>3</v>
      </c>
      <c r="B808" s="13" t="s">
        <v>16</v>
      </c>
      <c r="C808" s="78"/>
      <c r="D808" s="78"/>
      <c r="E808" s="78"/>
      <c r="F808" s="78"/>
    </row>
    <row r="809" ht="14.25" customHeight="1">
      <c r="A809" s="96" t="s">
        <v>4</v>
      </c>
      <c r="B809" s="13" t="s">
        <v>27</v>
      </c>
      <c r="C809" s="78"/>
      <c r="D809" s="78"/>
      <c r="E809" s="78"/>
      <c r="F809" s="78"/>
    </row>
    <row r="810" ht="14.25" customHeight="1">
      <c r="A810" s="96" t="s">
        <v>5</v>
      </c>
      <c r="B810" s="13">
        <v>27.0</v>
      </c>
      <c r="C810" s="78"/>
      <c r="D810" s="78"/>
      <c r="E810" s="78"/>
      <c r="F810" s="78"/>
    </row>
    <row r="811" ht="14.25" customHeight="1">
      <c r="A811" s="96" t="s">
        <v>6</v>
      </c>
      <c r="B811" s="13" t="s">
        <v>40</v>
      </c>
      <c r="C811" s="78"/>
      <c r="D811" s="78"/>
      <c r="E811" s="78"/>
      <c r="F811" s="78"/>
    </row>
    <row r="812" ht="14.25" customHeight="1">
      <c r="A812" s="96" t="s">
        <v>7</v>
      </c>
      <c r="B812" s="13" t="s">
        <v>57</v>
      </c>
      <c r="C812" s="78"/>
      <c r="D812" s="78"/>
      <c r="E812" s="78"/>
      <c r="F812" s="78"/>
    </row>
    <row r="813" ht="14.25" customHeight="1">
      <c r="A813" s="96" t="s">
        <v>9</v>
      </c>
      <c r="B813" s="26">
        <v>0.18</v>
      </c>
      <c r="C813" s="78"/>
      <c r="D813" s="78"/>
      <c r="E813" s="78"/>
      <c r="F813" s="78"/>
    </row>
    <row r="814" ht="14.25" customHeight="1">
      <c r="A814" s="96" t="s">
        <v>18</v>
      </c>
      <c r="B814" s="13">
        <v>5.58</v>
      </c>
      <c r="C814" s="78"/>
      <c r="D814" s="78"/>
      <c r="E814" s="78"/>
      <c r="F814" s="78"/>
    </row>
    <row r="815" ht="14.25" customHeight="1">
      <c r="A815" s="96" t="s">
        <v>22</v>
      </c>
      <c r="B815" s="13" t="s">
        <v>57</v>
      </c>
      <c r="C815" s="78"/>
      <c r="D815" s="78"/>
      <c r="E815" s="78"/>
      <c r="F815" s="78"/>
    </row>
    <row r="816" ht="14.25" customHeight="1">
      <c r="A816" s="96" t="s">
        <v>29</v>
      </c>
      <c r="B816" s="39">
        <v>0.037</v>
      </c>
      <c r="C816" s="78"/>
      <c r="D816" s="78"/>
      <c r="E816" s="78"/>
      <c r="F816" s="78"/>
    </row>
    <row r="817" ht="14.25" customHeight="1"/>
    <row r="818" ht="14.25" customHeight="1"/>
    <row r="819" ht="14.25" customHeight="1">
      <c r="A819" s="77" t="s">
        <v>193</v>
      </c>
      <c r="B819" s="78"/>
      <c r="C819" s="78"/>
      <c r="D819" s="78"/>
      <c r="E819" s="78"/>
      <c r="F819" s="78"/>
    </row>
    <row r="820" ht="14.25" customHeight="1">
      <c r="A820" s="79" t="s">
        <v>42</v>
      </c>
      <c r="B820" s="79" t="s">
        <v>44</v>
      </c>
      <c r="C820" s="79" t="s">
        <v>45</v>
      </c>
      <c r="D820" s="79" t="s">
        <v>46</v>
      </c>
      <c r="E820" s="79" t="s">
        <v>47</v>
      </c>
      <c r="F820" s="79" t="s">
        <v>111</v>
      </c>
    </row>
    <row r="821" ht="14.25" customHeight="1">
      <c r="A821" s="80" t="s">
        <v>50</v>
      </c>
      <c r="B821" s="81">
        <v>1.546</v>
      </c>
      <c r="C821" s="81">
        <v>7.73</v>
      </c>
      <c r="D821" s="81">
        <v>5847.0</v>
      </c>
      <c r="E821" s="81">
        <v>4642.0</v>
      </c>
      <c r="F821" s="81">
        <v>5.0</v>
      </c>
    </row>
    <row r="822" ht="14.25" customHeight="1">
      <c r="A822" s="80" t="s">
        <v>56</v>
      </c>
      <c r="B822" s="81">
        <v>1.39</v>
      </c>
      <c r="C822" s="81">
        <v>1.39</v>
      </c>
      <c r="D822" s="81">
        <v>3099.0</v>
      </c>
      <c r="E822" s="81">
        <v>3099.0</v>
      </c>
      <c r="F822" s="81">
        <v>1.0</v>
      </c>
    </row>
    <row r="823" ht="14.25" customHeight="1">
      <c r="A823" s="80" t="s">
        <v>59</v>
      </c>
      <c r="B823" s="81">
        <v>0.68</v>
      </c>
      <c r="C823" s="81">
        <v>1.36</v>
      </c>
      <c r="D823" s="81">
        <v>3176.0</v>
      </c>
      <c r="E823" s="81">
        <v>3093.0</v>
      </c>
      <c r="F823" s="81">
        <v>2.0</v>
      </c>
    </row>
    <row r="824" ht="14.25" customHeight="1">
      <c r="A824" s="80" t="s">
        <v>61</v>
      </c>
      <c r="B824" s="81">
        <v>0.0</v>
      </c>
      <c r="C824" s="81">
        <v>1.42</v>
      </c>
      <c r="D824" s="81">
        <v>2601.0</v>
      </c>
      <c r="E824" s="81">
        <v>2553.0</v>
      </c>
      <c r="F824" s="81">
        <v>1.0</v>
      </c>
    </row>
    <row r="825" ht="14.25" customHeight="1">
      <c r="A825" s="80" t="s">
        <v>63</v>
      </c>
      <c r="B825" s="81">
        <v>0.7</v>
      </c>
      <c r="C825" s="81">
        <v>1.4</v>
      </c>
      <c r="D825" s="81">
        <v>2704.0</v>
      </c>
      <c r="E825" s="81">
        <v>2597.0</v>
      </c>
      <c r="F825" s="81">
        <v>2.0</v>
      </c>
    </row>
    <row r="826" ht="14.25" customHeight="1">
      <c r="A826" s="78"/>
      <c r="B826" s="83" t="s">
        <v>65</v>
      </c>
      <c r="C826" s="83">
        <v>13.3</v>
      </c>
      <c r="D826" s="78"/>
      <c r="E826" s="78"/>
      <c r="F826" s="83">
        <v>11.0</v>
      </c>
    </row>
    <row r="827" ht="14.25" customHeight="1">
      <c r="A827" s="78"/>
      <c r="B827" s="78"/>
      <c r="C827" s="78"/>
      <c r="D827" s="78"/>
      <c r="E827" s="78"/>
      <c r="F827" s="78"/>
    </row>
    <row r="828" ht="14.25" customHeight="1">
      <c r="A828" s="84" t="s">
        <v>119</v>
      </c>
      <c r="B828" s="78"/>
      <c r="C828" s="78"/>
      <c r="D828" s="78"/>
      <c r="E828" s="78"/>
      <c r="F828" s="78"/>
    </row>
    <row r="829" ht="14.25" customHeight="1">
      <c r="A829" s="79" t="s">
        <v>67</v>
      </c>
      <c r="B829" s="79" t="s">
        <v>68</v>
      </c>
      <c r="C829" s="78"/>
      <c r="D829" s="78"/>
      <c r="E829" s="78"/>
      <c r="F829" s="78"/>
    </row>
    <row r="830" ht="14.25" customHeight="1">
      <c r="A830" s="80" t="s">
        <v>70</v>
      </c>
      <c r="B830" s="81">
        <v>7.0</v>
      </c>
      <c r="C830" s="78"/>
      <c r="D830" s="78"/>
      <c r="E830" s="78"/>
      <c r="F830" s="78"/>
    </row>
    <row r="831" ht="14.25" customHeight="1">
      <c r="A831" s="80" t="s">
        <v>120</v>
      </c>
      <c r="B831" s="81">
        <v>5.0</v>
      </c>
      <c r="C831" s="78"/>
      <c r="D831" s="78"/>
      <c r="E831" s="78"/>
      <c r="F831" s="78"/>
    </row>
    <row r="832" ht="14.25" customHeight="1">
      <c r="A832" s="80" t="s">
        <v>123</v>
      </c>
      <c r="B832" s="81">
        <v>4.0</v>
      </c>
      <c r="C832" s="78"/>
      <c r="D832" s="78"/>
      <c r="E832" s="78"/>
      <c r="F832" s="78"/>
    </row>
    <row r="833" ht="14.25" customHeight="1">
      <c r="A833" s="80" t="s">
        <v>121</v>
      </c>
      <c r="B833" s="81">
        <v>3.0</v>
      </c>
      <c r="C833" s="78"/>
      <c r="D833" s="78"/>
      <c r="E833" s="78"/>
      <c r="F833" s="78"/>
    </row>
    <row r="834" ht="14.25" customHeight="1">
      <c r="A834" s="80" t="s">
        <v>122</v>
      </c>
      <c r="B834" s="81">
        <v>3.0</v>
      </c>
      <c r="C834" s="78"/>
      <c r="D834" s="78"/>
      <c r="E834" s="78"/>
      <c r="F834" s="78"/>
    </row>
    <row r="835" ht="14.25" customHeight="1">
      <c r="A835" s="80" t="s">
        <v>69</v>
      </c>
      <c r="B835" s="81">
        <v>2.0</v>
      </c>
      <c r="C835" s="78"/>
      <c r="D835" s="78"/>
      <c r="E835" s="78"/>
      <c r="F835" s="78"/>
    </row>
    <row r="836" ht="14.25" customHeight="1">
      <c r="A836" s="78"/>
      <c r="B836" s="83">
        <v>24.0</v>
      </c>
      <c r="C836" s="78"/>
      <c r="D836" s="78"/>
      <c r="E836" s="78"/>
      <c r="F836" s="78"/>
    </row>
    <row r="837" ht="14.25" customHeight="1">
      <c r="A837" s="78"/>
      <c r="B837" s="78"/>
      <c r="C837" s="78"/>
      <c r="D837" s="78"/>
      <c r="E837" s="78"/>
      <c r="F837" s="78"/>
    </row>
    <row r="838" ht="14.25" customHeight="1">
      <c r="A838" s="84" t="s">
        <v>124</v>
      </c>
      <c r="B838" s="78"/>
      <c r="C838" s="78"/>
      <c r="D838" s="78"/>
      <c r="E838" s="78"/>
      <c r="F838" s="78"/>
    </row>
    <row r="839" ht="14.25" customHeight="1">
      <c r="A839" s="79" t="s">
        <v>67</v>
      </c>
      <c r="B839" s="79" t="s">
        <v>73</v>
      </c>
      <c r="C839" s="79" t="s">
        <v>74</v>
      </c>
      <c r="D839" s="79" t="s">
        <v>75</v>
      </c>
      <c r="E839" s="79" t="s">
        <v>68</v>
      </c>
      <c r="F839" s="78"/>
    </row>
    <row r="840" ht="14.25" customHeight="1">
      <c r="A840" s="80" t="s">
        <v>70</v>
      </c>
      <c r="B840" s="81">
        <v>66.0</v>
      </c>
      <c r="C840" s="81">
        <v>0.0</v>
      </c>
      <c r="D840" s="81">
        <v>5.0</v>
      </c>
      <c r="E840" s="81">
        <v>71.0</v>
      </c>
      <c r="F840" s="78"/>
    </row>
    <row r="841" ht="14.25" customHeight="1">
      <c r="A841" s="80" t="s">
        <v>130</v>
      </c>
      <c r="B841" s="81">
        <v>10.0</v>
      </c>
      <c r="C841" s="81">
        <v>0.0</v>
      </c>
      <c r="D841" s="81">
        <v>0.0</v>
      </c>
      <c r="E841" s="81">
        <v>10.0</v>
      </c>
      <c r="F841" s="78"/>
    </row>
    <row r="842" ht="14.25" customHeight="1">
      <c r="A842" s="80" t="s">
        <v>125</v>
      </c>
      <c r="B842" s="81">
        <v>1.0</v>
      </c>
      <c r="C842" s="81">
        <v>0.0</v>
      </c>
      <c r="D842" s="81">
        <v>7.0</v>
      </c>
      <c r="E842" s="81">
        <v>8.0</v>
      </c>
      <c r="F842" s="78"/>
    </row>
    <row r="843" ht="14.25" customHeight="1">
      <c r="A843" s="78"/>
      <c r="B843" s="78"/>
      <c r="C843" s="78"/>
      <c r="D843" s="78"/>
      <c r="E843" s="78"/>
      <c r="F843" s="78"/>
    </row>
    <row r="844" ht="14.25" customHeight="1">
      <c r="A844" s="84" t="s">
        <v>77</v>
      </c>
      <c r="B844" s="78"/>
      <c r="C844" s="78"/>
      <c r="D844" s="78"/>
      <c r="E844" s="78"/>
      <c r="F844" s="78"/>
    </row>
    <row r="845" ht="14.25" customHeight="1">
      <c r="A845" s="86" t="s">
        <v>79</v>
      </c>
      <c r="B845" s="86" t="s">
        <v>5</v>
      </c>
      <c r="C845" s="78"/>
      <c r="D845" s="78"/>
      <c r="E845" s="78"/>
      <c r="F845" s="78"/>
    </row>
    <row r="846" ht="14.25" customHeight="1">
      <c r="A846" s="87" t="s">
        <v>133</v>
      </c>
      <c r="B846" s="88">
        <v>4.0</v>
      </c>
      <c r="C846" s="78"/>
      <c r="D846" s="78"/>
      <c r="E846" s="78"/>
      <c r="F846" s="78"/>
    </row>
    <row r="847" ht="14.25" customHeight="1">
      <c r="A847" s="87" t="s">
        <v>88</v>
      </c>
      <c r="B847" s="88">
        <v>2.0</v>
      </c>
      <c r="C847" s="78"/>
      <c r="D847" s="78"/>
      <c r="E847" s="78"/>
      <c r="F847" s="78"/>
    </row>
    <row r="848" ht="14.25" customHeight="1">
      <c r="A848" s="87" t="s">
        <v>126</v>
      </c>
      <c r="B848" s="88">
        <v>2.0</v>
      </c>
      <c r="C848" s="78"/>
      <c r="D848" s="78"/>
      <c r="E848" s="78"/>
      <c r="F848" s="78"/>
    </row>
    <row r="849" ht="14.25" customHeight="1">
      <c r="A849" s="87" t="s">
        <v>83</v>
      </c>
      <c r="B849" s="88">
        <v>2.0</v>
      </c>
      <c r="C849" s="78"/>
      <c r="D849" s="78"/>
      <c r="E849" s="78"/>
      <c r="F849" s="78"/>
    </row>
    <row r="850" ht="14.25" customHeight="1">
      <c r="A850" s="87" t="s">
        <v>174</v>
      </c>
      <c r="B850" s="88">
        <v>1.0</v>
      </c>
      <c r="C850" s="78"/>
      <c r="D850" s="78"/>
      <c r="E850" s="78"/>
      <c r="F850" s="78"/>
    </row>
    <row r="851" ht="14.25" customHeight="1">
      <c r="A851" s="87" t="s">
        <v>87</v>
      </c>
      <c r="B851" s="88">
        <v>1.0</v>
      </c>
      <c r="C851" s="78"/>
      <c r="D851" s="78"/>
      <c r="E851" s="78"/>
      <c r="F851" s="78"/>
    </row>
    <row r="852" ht="14.25" customHeight="1">
      <c r="A852" s="87" t="s">
        <v>86</v>
      </c>
      <c r="B852" s="88">
        <v>1.0</v>
      </c>
      <c r="C852" s="78"/>
      <c r="D852" s="78"/>
      <c r="E852" s="78"/>
      <c r="F852" s="78"/>
    </row>
    <row r="853" ht="14.25" customHeight="1">
      <c r="A853" s="78"/>
      <c r="B853" s="78"/>
      <c r="C853" s="78"/>
      <c r="D853" s="78"/>
      <c r="E853" s="78"/>
      <c r="F853" s="78"/>
    </row>
    <row r="854" ht="14.25" customHeight="1">
      <c r="A854" s="89" t="s">
        <v>127</v>
      </c>
      <c r="B854" s="132" t="s">
        <v>58</v>
      </c>
      <c r="C854" s="78"/>
      <c r="D854" s="78"/>
      <c r="E854" s="78"/>
      <c r="F854" s="78"/>
    </row>
    <row r="855" ht="14.25" customHeight="1">
      <c r="A855" s="89" t="s">
        <v>129</v>
      </c>
      <c r="B855" s="132" t="s">
        <v>54</v>
      </c>
      <c r="C855" s="78"/>
      <c r="D855" s="78"/>
      <c r="E855" s="78"/>
      <c r="F855" s="78"/>
    </row>
    <row r="856" ht="14.25" customHeight="1">
      <c r="A856" s="89" t="s">
        <v>131</v>
      </c>
      <c r="B856" s="132" t="s">
        <v>54</v>
      </c>
      <c r="C856" s="78"/>
      <c r="D856" s="78"/>
      <c r="E856" s="78"/>
      <c r="F856" s="78"/>
    </row>
    <row r="857" ht="14.25" customHeight="1">
      <c r="A857" s="89" t="s">
        <v>132</v>
      </c>
      <c r="B857" s="132" t="s">
        <v>54</v>
      </c>
      <c r="C857" s="78"/>
      <c r="D857" s="78"/>
      <c r="E857" s="78"/>
      <c r="F857" s="78"/>
    </row>
    <row r="858" ht="14.25" customHeight="1">
      <c r="A858" s="78"/>
      <c r="B858" s="78"/>
      <c r="C858" s="78"/>
      <c r="D858" s="78"/>
      <c r="E858" s="78"/>
      <c r="F858" s="78"/>
    </row>
    <row r="859" ht="14.25" customHeight="1">
      <c r="A859" s="93" t="s">
        <v>7</v>
      </c>
      <c r="B859" s="93" t="s">
        <v>58</v>
      </c>
      <c r="C859" s="78"/>
      <c r="D859" s="78"/>
      <c r="E859" s="78"/>
      <c r="F859" s="78"/>
    </row>
    <row r="860" ht="14.25" customHeight="1">
      <c r="A860" s="133" t="s">
        <v>0</v>
      </c>
      <c r="B860" s="133" t="s">
        <v>175</v>
      </c>
      <c r="C860" s="95">
        <v>1.0</v>
      </c>
      <c r="D860" s="78"/>
      <c r="E860" s="78"/>
      <c r="F860" s="78"/>
    </row>
    <row r="861" ht="14.25" customHeight="1">
      <c r="A861" s="78"/>
      <c r="B861" s="78"/>
      <c r="C861" s="78"/>
      <c r="D861" s="78"/>
      <c r="E861" s="78"/>
      <c r="F861" s="78"/>
    </row>
    <row r="862" ht="14.25" customHeight="1">
      <c r="A862" s="66" t="s">
        <v>1</v>
      </c>
      <c r="B862" s="44">
        <v>46218.0</v>
      </c>
      <c r="C862" s="78"/>
      <c r="D862" s="78"/>
      <c r="E862" s="78"/>
      <c r="F862" s="78"/>
    </row>
    <row r="863" ht="14.25" customHeight="1">
      <c r="A863" s="96" t="s">
        <v>3</v>
      </c>
      <c r="B863" s="13" t="s">
        <v>17</v>
      </c>
      <c r="C863" s="78"/>
      <c r="D863" s="78"/>
      <c r="E863" s="78"/>
      <c r="F863" s="78"/>
    </row>
    <row r="864" ht="14.25" customHeight="1">
      <c r="A864" s="96" t="s">
        <v>4</v>
      </c>
      <c r="B864" s="13" t="s">
        <v>28</v>
      </c>
      <c r="C864" s="78"/>
      <c r="D864" s="78"/>
      <c r="E864" s="78"/>
      <c r="F864" s="78"/>
    </row>
    <row r="865" ht="14.25" customHeight="1">
      <c r="A865" s="96" t="s">
        <v>5</v>
      </c>
      <c r="B865" s="13">
        <v>11.0</v>
      </c>
      <c r="C865" s="78"/>
      <c r="D865" s="78"/>
      <c r="E865" s="78"/>
      <c r="F865" s="78"/>
    </row>
    <row r="866" ht="14.25" customHeight="1">
      <c r="A866" s="96" t="s">
        <v>6</v>
      </c>
      <c r="B866" s="13" t="s">
        <v>41</v>
      </c>
      <c r="C866" s="78"/>
      <c r="D866" s="78"/>
      <c r="E866" s="78"/>
      <c r="F866" s="78"/>
    </row>
    <row r="867" ht="14.25" customHeight="1">
      <c r="A867" s="96" t="s">
        <v>7</v>
      </c>
      <c r="B867" s="13" t="s">
        <v>58</v>
      </c>
      <c r="C867" s="78"/>
      <c r="D867" s="78"/>
      <c r="E867" s="78"/>
      <c r="F867" s="78"/>
    </row>
    <row r="868" ht="14.25" customHeight="1">
      <c r="A868" s="96" t="s">
        <v>9</v>
      </c>
      <c r="B868" s="26">
        <v>0.05</v>
      </c>
      <c r="C868" s="78"/>
      <c r="D868" s="78"/>
      <c r="E868" s="78"/>
      <c r="F868" s="78"/>
    </row>
    <row r="869" ht="14.25" customHeight="1">
      <c r="A869" s="96" t="s">
        <v>18</v>
      </c>
      <c r="B869" s="13">
        <v>20.43</v>
      </c>
      <c r="C869" s="78"/>
      <c r="D869" s="78"/>
      <c r="E869" s="78"/>
      <c r="F869" s="78"/>
    </row>
    <row r="870" ht="14.25" customHeight="1">
      <c r="A870" s="96" t="s">
        <v>22</v>
      </c>
      <c r="B870" s="13" t="s">
        <v>58</v>
      </c>
      <c r="C870" s="78"/>
      <c r="D870" s="78"/>
      <c r="E870" s="78"/>
      <c r="F870" s="78"/>
    </row>
    <row r="871" ht="14.25" customHeight="1">
      <c r="A871" s="96" t="s">
        <v>29</v>
      </c>
      <c r="B871" s="39">
        <v>0.0909</v>
      </c>
      <c r="C871" s="78"/>
      <c r="D871" s="78"/>
      <c r="E871" s="78"/>
      <c r="F871" s="78"/>
    </row>
    <row r="872" ht="14.25" customHeight="1"/>
    <row r="873" ht="14.25" customHeight="1"/>
    <row r="874" ht="14.25" customHeight="1">
      <c r="A874" s="141" t="s">
        <v>194</v>
      </c>
    </row>
    <row r="875" ht="14.25" customHeight="1"/>
    <row r="876" ht="14.25" customHeight="1">
      <c r="A876" s="138" t="s">
        <v>195</v>
      </c>
      <c r="B876" s="78"/>
      <c r="C876" s="78"/>
      <c r="D876" s="78"/>
      <c r="E876" s="78"/>
      <c r="F876" s="78"/>
    </row>
    <row r="877" ht="14.25" customHeight="1">
      <c r="A877" s="79" t="s">
        <v>42</v>
      </c>
      <c r="B877" s="79" t="s">
        <v>44</v>
      </c>
      <c r="C877" s="79" t="s">
        <v>104</v>
      </c>
      <c r="D877" s="79" t="s">
        <v>46</v>
      </c>
      <c r="E877" s="79" t="s">
        <v>47</v>
      </c>
      <c r="F877" s="79" t="s">
        <v>43</v>
      </c>
    </row>
    <row r="878" ht="14.25" customHeight="1">
      <c r="A878" s="80" t="s">
        <v>196</v>
      </c>
      <c r="B878" s="80" t="s">
        <v>197</v>
      </c>
      <c r="C878" s="80" t="s">
        <v>198</v>
      </c>
      <c r="D878" s="81">
        <v>1899.0</v>
      </c>
      <c r="E878" s="81">
        <v>1539.0</v>
      </c>
      <c r="F878" s="81">
        <v>6.0</v>
      </c>
    </row>
    <row r="879" ht="14.25" customHeight="1">
      <c r="A879" s="80" t="s">
        <v>199</v>
      </c>
      <c r="B879" s="80" t="s">
        <v>200</v>
      </c>
      <c r="C879" s="80" t="s">
        <v>201</v>
      </c>
      <c r="D879" s="81">
        <v>3112.0</v>
      </c>
      <c r="E879" s="81">
        <v>2664.0</v>
      </c>
      <c r="F879" s="81">
        <v>17.0</v>
      </c>
    </row>
    <row r="880" ht="14.25" customHeight="1">
      <c r="A880" s="80" t="s">
        <v>202</v>
      </c>
      <c r="B880" s="80" t="s">
        <v>203</v>
      </c>
      <c r="C880" s="80" t="s">
        <v>204</v>
      </c>
      <c r="D880" s="81">
        <v>2118.0</v>
      </c>
      <c r="E880" s="81">
        <v>1791.0</v>
      </c>
      <c r="F880" s="81">
        <v>5.0</v>
      </c>
    </row>
    <row r="881" ht="14.25" customHeight="1">
      <c r="A881" s="78"/>
      <c r="B881" s="82" t="s">
        <v>65</v>
      </c>
      <c r="C881" s="82" t="s">
        <v>205</v>
      </c>
      <c r="D881" s="78"/>
      <c r="E881" s="78"/>
      <c r="F881" s="82">
        <v>28.0</v>
      </c>
    </row>
    <row r="882" ht="14.25" customHeight="1">
      <c r="A882" s="78"/>
      <c r="B882" s="78"/>
      <c r="C882" s="78"/>
      <c r="D882" s="78"/>
      <c r="E882" s="78"/>
      <c r="F882" s="78"/>
    </row>
    <row r="883" ht="14.25" customHeight="1">
      <c r="A883" s="84" t="s">
        <v>119</v>
      </c>
      <c r="B883" s="78"/>
      <c r="C883" s="78"/>
      <c r="D883" s="78"/>
      <c r="E883" s="78"/>
      <c r="F883" s="78"/>
    </row>
    <row r="884" ht="14.25" customHeight="1">
      <c r="A884" s="79" t="s">
        <v>67</v>
      </c>
      <c r="B884" s="79" t="s">
        <v>68</v>
      </c>
      <c r="C884" s="78"/>
      <c r="D884" s="78"/>
      <c r="E884" s="78"/>
      <c r="F884" s="78"/>
    </row>
    <row r="885" ht="14.25" customHeight="1">
      <c r="A885" s="80" t="s">
        <v>123</v>
      </c>
      <c r="B885" s="81">
        <v>9.0</v>
      </c>
      <c r="C885" s="78"/>
      <c r="D885" s="78"/>
      <c r="E885" s="78"/>
      <c r="F885" s="78"/>
    </row>
    <row r="886" ht="14.25" customHeight="1">
      <c r="A886" s="80" t="s">
        <v>122</v>
      </c>
      <c r="B886" s="81">
        <v>8.0</v>
      </c>
      <c r="C886" s="78"/>
      <c r="D886" s="78"/>
      <c r="E886" s="78"/>
      <c r="F886" s="78"/>
    </row>
    <row r="887" ht="14.25" customHeight="1">
      <c r="A887" s="80" t="s">
        <v>69</v>
      </c>
      <c r="B887" s="81">
        <v>8.0</v>
      </c>
      <c r="C887" s="78"/>
      <c r="D887" s="78"/>
      <c r="E887" s="78"/>
      <c r="F887" s="78"/>
    </row>
    <row r="888" ht="14.25" customHeight="1">
      <c r="A888" s="80" t="s">
        <v>70</v>
      </c>
      <c r="B888" s="81">
        <v>8.0</v>
      </c>
      <c r="C888" s="78"/>
      <c r="D888" s="78"/>
      <c r="E888" s="78"/>
      <c r="F888" s="78"/>
    </row>
    <row r="889" ht="14.25" customHeight="1">
      <c r="A889" s="80" t="s">
        <v>121</v>
      </c>
      <c r="B889" s="81">
        <v>7.0</v>
      </c>
      <c r="C889" s="78"/>
      <c r="D889" s="78"/>
      <c r="E889" s="78"/>
      <c r="F889" s="78"/>
    </row>
    <row r="890" ht="14.25" customHeight="1">
      <c r="A890" s="80" t="s">
        <v>120</v>
      </c>
      <c r="B890" s="81">
        <v>6.0</v>
      </c>
      <c r="C890" s="78"/>
      <c r="D890" s="78"/>
      <c r="E890" s="78"/>
      <c r="F890" s="78"/>
    </row>
    <row r="891" ht="14.25" customHeight="1">
      <c r="A891" s="80" t="s">
        <v>130</v>
      </c>
      <c r="B891" s="81">
        <v>1.0</v>
      </c>
      <c r="C891" s="78"/>
      <c r="D891" s="78"/>
      <c r="E891" s="78"/>
      <c r="F891" s="78"/>
    </row>
    <row r="892" ht="14.25" customHeight="1">
      <c r="A892" s="78"/>
      <c r="B892" s="83">
        <v>47.0</v>
      </c>
      <c r="C892" s="78"/>
      <c r="D892" s="78"/>
      <c r="E892" s="78"/>
      <c r="F892" s="78"/>
    </row>
    <row r="893" ht="14.25" customHeight="1">
      <c r="A893" s="78"/>
      <c r="B893" s="78"/>
      <c r="C893" s="78"/>
      <c r="D893" s="78"/>
      <c r="E893" s="78"/>
      <c r="F893" s="78"/>
    </row>
    <row r="894" ht="14.25" customHeight="1">
      <c r="A894" s="84" t="s">
        <v>124</v>
      </c>
      <c r="B894" s="78"/>
      <c r="C894" s="78"/>
      <c r="D894" s="78"/>
      <c r="E894" s="78"/>
      <c r="F894" s="78"/>
    </row>
    <row r="895" ht="14.25" customHeight="1">
      <c r="A895" s="79" t="s">
        <v>67</v>
      </c>
      <c r="B895" s="79" t="s">
        <v>73</v>
      </c>
      <c r="C895" s="79" t="s">
        <v>74</v>
      </c>
      <c r="D895" s="79" t="s">
        <v>75</v>
      </c>
      <c r="E895" s="79" t="s">
        <v>68</v>
      </c>
      <c r="F895" s="78"/>
    </row>
    <row r="896" ht="14.25" customHeight="1">
      <c r="A896" s="80" t="s">
        <v>70</v>
      </c>
      <c r="B896" s="81">
        <v>54.0</v>
      </c>
      <c r="C896" s="81">
        <v>0.0</v>
      </c>
      <c r="D896" s="81">
        <v>3.0</v>
      </c>
      <c r="E896" s="81">
        <v>57.0</v>
      </c>
      <c r="F896" s="78"/>
    </row>
    <row r="897" ht="14.25" customHeight="1">
      <c r="A897" s="80" t="s">
        <v>125</v>
      </c>
      <c r="B897" s="81">
        <v>27.0</v>
      </c>
      <c r="C897" s="81">
        <v>0.0</v>
      </c>
      <c r="D897" s="81">
        <v>8.0</v>
      </c>
      <c r="E897" s="81">
        <v>35.0</v>
      </c>
      <c r="F897" s="78"/>
    </row>
    <row r="898" ht="14.25" customHeight="1">
      <c r="A898" s="80" t="s">
        <v>130</v>
      </c>
      <c r="B898" s="81">
        <v>20.0</v>
      </c>
      <c r="C898" s="81">
        <v>0.0</v>
      </c>
      <c r="D898" s="81">
        <v>0.0</v>
      </c>
      <c r="E898" s="81">
        <v>20.0</v>
      </c>
      <c r="F898" s="78"/>
    </row>
    <row r="899" ht="14.25" customHeight="1">
      <c r="A899" s="80" t="s">
        <v>69</v>
      </c>
      <c r="B899" s="81">
        <v>0.0</v>
      </c>
      <c r="C899" s="81">
        <v>2.0</v>
      </c>
      <c r="D899" s="81">
        <v>8.0</v>
      </c>
      <c r="E899" s="81">
        <v>10.0</v>
      </c>
      <c r="F899" s="78"/>
    </row>
    <row r="900" ht="14.25" customHeight="1">
      <c r="A900" s="80" t="s">
        <v>120</v>
      </c>
      <c r="B900" s="81">
        <v>9.0</v>
      </c>
      <c r="C900" s="81">
        <v>0.0</v>
      </c>
      <c r="D900" s="81">
        <v>0.0</v>
      </c>
      <c r="E900" s="81">
        <v>9.0</v>
      </c>
      <c r="F900" s="78"/>
    </row>
    <row r="901" ht="14.25" customHeight="1">
      <c r="A901" s="80" t="s">
        <v>123</v>
      </c>
      <c r="B901" s="81">
        <v>4.0</v>
      </c>
      <c r="C901" s="81">
        <v>0.0</v>
      </c>
      <c r="D901" s="81">
        <v>3.0</v>
      </c>
      <c r="E901" s="81">
        <v>7.0</v>
      </c>
      <c r="F901" s="78"/>
    </row>
    <row r="902" ht="14.25" customHeight="1">
      <c r="A902" s="78"/>
      <c r="B902" s="78"/>
      <c r="C902" s="78"/>
      <c r="D902" s="78"/>
      <c r="E902" s="78"/>
      <c r="F902" s="78"/>
    </row>
    <row r="903" ht="14.25" customHeight="1">
      <c r="A903" s="84" t="s">
        <v>77</v>
      </c>
      <c r="B903" s="78"/>
      <c r="C903" s="78"/>
      <c r="D903" s="78"/>
      <c r="E903" s="78"/>
      <c r="F903" s="78"/>
    </row>
    <row r="904" ht="14.25" customHeight="1">
      <c r="A904" s="86" t="s">
        <v>79</v>
      </c>
      <c r="B904" s="86" t="s">
        <v>5</v>
      </c>
      <c r="C904" s="78"/>
      <c r="D904" s="78"/>
      <c r="E904" s="78"/>
      <c r="F904" s="78"/>
    </row>
    <row r="905" ht="14.25" customHeight="1">
      <c r="A905" s="87" t="s">
        <v>206</v>
      </c>
      <c r="B905" s="88">
        <v>5.0</v>
      </c>
      <c r="C905" s="78"/>
      <c r="D905" s="78"/>
      <c r="E905" s="78"/>
      <c r="F905" s="78"/>
    </row>
    <row r="906" ht="14.25" customHeight="1">
      <c r="A906" s="87" t="s">
        <v>83</v>
      </c>
      <c r="B906" s="88">
        <v>4.0</v>
      </c>
      <c r="C906" s="78"/>
      <c r="D906" s="78"/>
      <c r="E906" s="78"/>
      <c r="F906" s="78"/>
    </row>
    <row r="907" ht="14.25" customHeight="1">
      <c r="A907" s="87" t="s">
        <v>126</v>
      </c>
      <c r="B907" s="88">
        <v>4.0</v>
      </c>
      <c r="C907" s="78"/>
      <c r="D907" s="78"/>
      <c r="E907" s="78"/>
      <c r="F907" s="78"/>
    </row>
    <row r="908" ht="14.25" customHeight="1">
      <c r="A908" s="87" t="s">
        <v>207</v>
      </c>
      <c r="B908" s="88">
        <v>4.0</v>
      </c>
      <c r="C908" s="78"/>
      <c r="D908" s="78"/>
      <c r="E908" s="78"/>
      <c r="F908" s="78"/>
    </row>
    <row r="909" ht="14.25" customHeight="1">
      <c r="A909" s="87" t="s">
        <v>208</v>
      </c>
      <c r="B909" s="88">
        <v>4.0</v>
      </c>
      <c r="C909" s="78"/>
      <c r="D909" s="78"/>
      <c r="E909" s="78"/>
      <c r="F909" s="78"/>
    </row>
    <row r="910" ht="14.25" customHeight="1">
      <c r="A910" s="87" t="s">
        <v>209</v>
      </c>
      <c r="B910" s="88">
        <v>3.0</v>
      </c>
      <c r="C910" s="78"/>
      <c r="D910" s="78"/>
      <c r="E910" s="78"/>
      <c r="F910" s="78"/>
    </row>
    <row r="911" ht="14.25" customHeight="1">
      <c r="A911" s="87" t="s">
        <v>210</v>
      </c>
      <c r="B911" s="88">
        <v>2.0</v>
      </c>
      <c r="C911" s="78"/>
      <c r="D911" s="78"/>
      <c r="E911" s="78"/>
      <c r="F911" s="78"/>
    </row>
    <row r="912" ht="14.25" customHeight="1">
      <c r="A912" s="87" t="s">
        <v>211</v>
      </c>
      <c r="B912" s="88">
        <v>1.0</v>
      </c>
      <c r="C912" s="78"/>
      <c r="D912" s="78"/>
      <c r="E912" s="78"/>
      <c r="F912" s="78"/>
    </row>
    <row r="913" ht="14.25" customHeight="1">
      <c r="A913" s="87" t="s">
        <v>133</v>
      </c>
      <c r="B913" s="88">
        <v>1.0</v>
      </c>
      <c r="C913" s="78"/>
      <c r="D913" s="78"/>
      <c r="E913" s="78"/>
      <c r="F913" s="78"/>
    </row>
    <row r="914" ht="14.25" customHeight="1">
      <c r="A914" s="87" t="s">
        <v>84</v>
      </c>
      <c r="B914" s="88">
        <v>1.0</v>
      </c>
      <c r="C914" s="78"/>
      <c r="D914" s="78"/>
      <c r="E914" s="78"/>
      <c r="F914" s="78"/>
    </row>
    <row r="915" ht="14.25" customHeight="1">
      <c r="A915" s="87" t="s">
        <v>212</v>
      </c>
      <c r="B915" s="88">
        <v>1.0</v>
      </c>
      <c r="C915" s="78"/>
      <c r="D915" s="78"/>
      <c r="E915" s="78"/>
      <c r="F915" s="78"/>
    </row>
    <row r="916" ht="14.25" customHeight="1">
      <c r="A916" s="87" t="s">
        <v>192</v>
      </c>
      <c r="B916" s="88">
        <v>1.0</v>
      </c>
      <c r="C916" s="78"/>
      <c r="D916" s="78"/>
      <c r="E916" s="78"/>
      <c r="F916" s="78"/>
    </row>
    <row r="917" ht="14.25" customHeight="1">
      <c r="A917" s="87" t="s">
        <v>213</v>
      </c>
      <c r="B917" s="88">
        <v>1.0</v>
      </c>
      <c r="C917" s="78"/>
      <c r="D917" s="78"/>
      <c r="E917" s="78"/>
      <c r="F917" s="78"/>
    </row>
    <row r="918" ht="14.25" customHeight="1">
      <c r="A918" s="87" t="s">
        <v>214</v>
      </c>
      <c r="B918" s="88">
        <v>1.0</v>
      </c>
      <c r="C918" s="78"/>
      <c r="D918" s="78"/>
      <c r="E918" s="78"/>
      <c r="F918" s="78"/>
    </row>
    <row r="919" ht="14.25" customHeight="1">
      <c r="A919" s="87" t="s">
        <v>88</v>
      </c>
      <c r="B919" s="88">
        <v>1.0</v>
      </c>
      <c r="C919" s="78"/>
      <c r="D919" s="78"/>
      <c r="E919" s="78"/>
      <c r="F919" s="78"/>
    </row>
    <row r="920" ht="14.25" customHeight="1">
      <c r="A920" s="78"/>
      <c r="B920" s="78"/>
      <c r="C920" s="78"/>
      <c r="D920" s="78"/>
      <c r="E920" s="78"/>
      <c r="F920" s="78"/>
    </row>
    <row r="921" ht="14.25" customHeight="1">
      <c r="A921" s="89" t="s">
        <v>127</v>
      </c>
      <c r="B921" s="132" t="s">
        <v>215</v>
      </c>
      <c r="C921" s="78"/>
      <c r="D921" s="78"/>
      <c r="E921" s="78"/>
      <c r="F921" s="78"/>
    </row>
    <row r="922" ht="14.25" customHeight="1">
      <c r="A922" s="89" t="s">
        <v>129</v>
      </c>
      <c r="B922" s="132" t="s">
        <v>54</v>
      </c>
      <c r="C922" s="78"/>
      <c r="D922" s="78"/>
      <c r="E922" s="78"/>
      <c r="F922" s="78"/>
    </row>
    <row r="923" ht="14.25" customHeight="1">
      <c r="A923" s="89" t="s">
        <v>131</v>
      </c>
      <c r="B923" s="132" t="s">
        <v>55</v>
      </c>
      <c r="C923" s="78"/>
      <c r="D923" s="78"/>
      <c r="E923" s="78"/>
      <c r="F923" s="78"/>
    </row>
    <row r="924" ht="14.25" customHeight="1">
      <c r="A924" s="89" t="s">
        <v>132</v>
      </c>
      <c r="B924" s="132" t="s">
        <v>54</v>
      </c>
      <c r="C924" s="78"/>
      <c r="D924" s="78"/>
      <c r="E924" s="78"/>
      <c r="F924" s="78"/>
    </row>
    <row r="925" ht="14.25" customHeight="1">
      <c r="A925" s="78"/>
      <c r="B925" s="78"/>
      <c r="C925" s="78"/>
      <c r="D925" s="78"/>
      <c r="E925" s="78"/>
      <c r="F925" s="78"/>
    </row>
    <row r="926" ht="14.25" customHeight="1">
      <c r="A926" s="93" t="s">
        <v>7</v>
      </c>
      <c r="B926" s="93" t="s">
        <v>216</v>
      </c>
      <c r="C926" s="95">
        <v>1.0</v>
      </c>
      <c r="D926" s="78"/>
      <c r="E926" s="78"/>
      <c r="F926" s="78"/>
    </row>
    <row r="927" ht="14.25" customHeight="1">
      <c r="A927" s="78"/>
      <c r="B927" s="78"/>
      <c r="C927" s="78"/>
      <c r="D927" s="78"/>
      <c r="E927" s="78"/>
      <c r="F927" s="78"/>
    </row>
    <row r="928" ht="14.25" customHeight="1">
      <c r="A928" s="66" t="s">
        <v>1</v>
      </c>
      <c r="B928" s="44">
        <v>46219.0</v>
      </c>
      <c r="C928" s="78"/>
      <c r="D928" s="78"/>
      <c r="E928" s="78"/>
      <c r="F928" s="78"/>
    </row>
    <row r="929" ht="14.25" customHeight="1">
      <c r="A929" s="96" t="s">
        <v>4</v>
      </c>
      <c r="B929" s="13" t="s">
        <v>205</v>
      </c>
      <c r="C929" s="78"/>
      <c r="D929" s="78"/>
      <c r="E929" s="78"/>
      <c r="F929" s="78"/>
    </row>
    <row r="930" ht="14.25" customHeight="1">
      <c r="A930" s="96" t="s">
        <v>5</v>
      </c>
      <c r="B930" s="13">
        <v>28.0</v>
      </c>
      <c r="C930" s="78"/>
      <c r="D930" s="78"/>
      <c r="E930" s="78"/>
      <c r="F930" s="78"/>
    </row>
    <row r="931" ht="14.25" customHeight="1">
      <c r="A931" s="96" t="s">
        <v>6</v>
      </c>
      <c r="B931" s="13" t="s">
        <v>217</v>
      </c>
      <c r="C931" s="78"/>
      <c r="D931" s="78"/>
      <c r="E931" s="78"/>
      <c r="F931" s="78"/>
    </row>
    <row r="932" ht="14.25" customHeight="1">
      <c r="A932" s="96" t="s">
        <v>7</v>
      </c>
      <c r="B932" s="13" t="s">
        <v>216</v>
      </c>
      <c r="C932" s="78"/>
      <c r="D932" s="78"/>
      <c r="E932" s="78"/>
      <c r="F932" s="78"/>
    </row>
    <row r="933" ht="14.25" customHeight="1">
      <c r="A933" s="96" t="s">
        <v>9</v>
      </c>
      <c r="B933" s="26">
        <v>0.13</v>
      </c>
      <c r="C933" s="78"/>
      <c r="D933" s="78"/>
      <c r="E933" s="78"/>
      <c r="F933" s="78"/>
    </row>
    <row r="934" ht="14.25" customHeight="1">
      <c r="A934" s="96" t="s">
        <v>18</v>
      </c>
      <c r="B934" s="13">
        <v>7.85</v>
      </c>
      <c r="C934" s="78"/>
      <c r="D934" s="78"/>
      <c r="E934" s="78"/>
      <c r="F934" s="78"/>
    </row>
    <row r="935" ht="14.25" customHeight="1">
      <c r="A935" s="96" t="s">
        <v>22</v>
      </c>
      <c r="B935" s="13" t="s">
        <v>216</v>
      </c>
      <c r="C935" s="78"/>
      <c r="D935" s="78"/>
      <c r="E935" s="78"/>
      <c r="F935" s="78"/>
    </row>
    <row r="936" ht="14.25" customHeight="1">
      <c r="A936" s="96" t="s">
        <v>29</v>
      </c>
      <c r="B936" s="39">
        <v>0.0357</v>
      </c>
      <c r="C936" s="78"/>
      <c r="D936" s="78"/>
      <c r="E936" s="78"/>
      <c r="F936" s="78"/>
    </row>
    <row r="937" ht="14.25" customHeight="1"/>
    <row r="938" ht="14.25" customHeight="1"/>
    <row r="939" ht="14.25" customHeight="1">
      <c r="A939" s="77" t="s">
        <v>218</v>
      </c>
      <c r="B939" s="78"/>
      <c r="C939" s="78"/>
      <c r="D939" s="78"/>
      <c r="E939" s="78"/>
      <c r="F939" s="78"/>
    </row>
    <row r="940" ht="14.25" customHeight="1">
      <c r="A940" s="79" t="s">
        <v>42</v>
      </c>
      <c r="B940" s="79" t="s">
        <v>44</v>
      </c>
      <c r="C940" s="79" t="s">
        <v>104</v>
      </c>
      <c r="D940" s="79" t="s">
        <v>46</v>
      </c>
      <c r="E940" s="79" t="s">
        <v>47</v>
      </c>
      <c r="F940" s="79" t="s">
        <v>43</v>
      </c>
    </row>
    <row r="941" ht="14.25" customHeight="1">
      <c r="A941" s="80" t="s">
        <v>196</v>
      </c>
      <c r="B941" s="80" t="s">
        <v>219</v>
      </c>
      <c r="C941" s="80" t="s">
        <v>220</v>
      </c>
      <c r="D941" s="81">
        <v>1843.0</v>
      </c>
      <c r="E941" s="81">
        <v>1569.0</v>
      </c>
      <c r="F941" s="81">
        <v>3.0</v>
      </c>
    </row>
    <row r="942" ht="14.25" customHeight="1">
      <c r="A942" s="80" t="s">
        <v>199</v>
      </c>
      <c r="B942" s="80" t="s">
        <v>221</v>
      </c>
      <c r="C942" s="80" t="s">
        <v>222</v>
      </c>
      <c r="D942" s="81">
        <v>3283.0</v>
      </c>
      <c r="E942" s="81">
        <v>2859.0</v>
      </c>
      <c r="F942" s="81">
        <v>12.0</v>
      </c>
    </row>
    <row r="943" ht="14.25" customHeight="1">
      <c r="A943" s="80" t="s">
        <v>202</v>
      </c>
      <c r="B943" s="80" t="s">
        <v>223</v>
      </c>
      <c r="C943" s="80" t="s">
        <v>224</v>
      </c>
      <c r="D943" s="81">
        <v>3812.0</v>
      </c>
      <c r="E943" s="81">
        <v>3440.0</v>
      </c>
      <c r="F943" s="81">
        <v>8.0</v>
      </c>
    </row>
    <row r="944" ht="14.25" customHeight="1">
      <c r="A944" s="78"/>
      <c r="B944" s="83" t="s">
        <v>65</v>
      </c>
      <c r="C944" s="83" t="s">
        <v>225</v>
      </c>
      <c r="D944" s="78"/>
      <c r="E944" s="78"/>
      <c r="F944" s="83">
        <v>23.0</v>
      </c>
    </row>
    <row r="945" ht="14.25" customHeight="1">
      <c r="A945" s="78"/>
      <c r="B945" s="78"/>
      <c r="C945" s="78"/>
      <c r="D945" s="78"/>
      <c r="E945" s="78"/>
      <c r="F945" s="78"/>
    </row>
    <row r="946" ht="14.25" customHeight="1">
      <c r="A946" s="84" t="s">
        <v>119</v>
      </c>
      <c r="B946" s="78"/>
      <c r="C946" s="78"/>
      <c r="D946" s="78"/>
      <c r="E946" s="78"/>
      <c r="F946" s="78"/>
    </row>
    <row r="947" ht="14.25" customHeight="1">
      <c r="A947" s="137" t="s">
        <v>67</v>
      </c>
      <c r="B947" s="137" t="s">
        <v>68</v>
      </c>
      <c r="C947" s="78"/>
      <c r="D947" s="78"/>
      <c r="E947" s="78"/>
      <c r="F947" s="78"/>
    </row>
    <row r="948" ht="14.25" customHeight="1">
      <c r="A948" s="80" t="s">
        <v>121</v>
      </c>
      <c r="B948" s="81">
        <v>7.0</v>
      </c>
      <c r="C948" s="78"/>
      <c r="D948" s="78"/>
      <c r="E948" s="78"/>
      <c r="F948" s="78"/>
    </row>
    <row r="949" ht="14.25" customHeight="1">
      <c r="A949" s="80" t="s">
        <v>70</v>
      </c>
      <c r="B949" s="81">
        <v>7.0</v>
      </c>
      <c r="C949" s="78"/>
      <c r="D949" s="78"/>
      <c r="E949" s="78"/>
      <c r="F949" s="78"/>
    </row>
    <row r="950" ht="14.25" customHeight="1">
      <c r="A950" s="80" t="s">
        <v>120</v>
      </c>
      <c r="B950" s="81">
        <v>5.0</v>
      </c>
      <c r="C950" s="78"/>
      <c r="D950" s="78"/>
      <c r="E950" s="78"/>
      <c r="F950" s="78"/>
    </row>
    <row r="951" ht="14.25" customHeight="1">
      <c r="A951" s="80" t="s">
        <v>122</v>
      </c>
      <c r="B951" s="81">
        <v>5.0</v>
      </c>
      <c r="C951" s="78"/>
      <c r="D951" s="78"/>
      <c r="E951" s="78"/>
      <c r="F951" s="78"/>
    </row>
    <row r="952" ht="14.25" customHeight="1">
      <c r="A952" s="80" t="s">
        <v>123</v>
      </c>
      <c r="B952" s="81">
        <v>5.0</v>
      </c>
      <c r="C952" s="78"/>
      <c r="D952" s="78"/>
      <c r="E952" s="78"/>
      <c r="F952" s="78"/>
    </row>
    <row r="953" ht="14.25" customHeight="1">
      <c r="A953" s="80" t="s">
        <v>69</v>
      </c>
      <c r="B953" s="81">
        <v>4.0</v>
      </c>
      <c r="C953" s="78"/>
      <c r="D953" s="78"/>
      <c r="E953" s="78"/>
      <c r="F953" s="78"/>
    </row>
    <row r="954" ht="14.25" customHeight="1">
      <c r="A954" s="80" t="s">
        <v>130</v>
      </c>
      <c r="B954" s="81">
        <v>1.0</v>
      </c>
      <c r="C954" s="78"/>
      <c r="D954" s="78"/>
      <c r="E954" s="78"/>
      <c r="F954" s="78"/>
    </row>
    <row r="955" ht="14.25" customHeight="1">
      <c r="A955" s="78"/>
      <c r="B955" s="83">
        <v>34.0</v>
      </c>
      <c r="C955" s="78"/>
      <c r="D955" s="78"/>
      <c r="E955" s="78"/>
      <c r="F955" s="78"/>
    </row>
    <row r="956" ht="14.25" customHeight="1">
      <c r="A956" s="78"/>
      <c r="B956" s="78"/>
      <c r="C956" s="78"/>
      <c r="D956" s="78"/>
      <c r="E956" s="78"/>
      <c r="F956" s="78"/>
    </row>
    <row r="957" ht="14.25" customHeight="1">
      <c r="A957" s="84" t="s">
        <v>124</v>
      </c>
      <c r="B957" s="78"/>
      <c r="C957" s="78"/>
      <c r="D957" s="78"/>
      <c r="E957" s="78"/>
      <c r="F957" s="78"/>
    </row>
    <row r="958" ht="14.25" customHeight="1">
      <c r="A958" s="79" t="s">
        <v>67</v>
      </c>
      <c r="B958" s="140" t="s">
        <v>73</v>
      </c>
      <c r="C958" s="140" t="s">
        <v>74</v>
      </c>
      <c r="D958" s="140" t="s">
        <v>75</v>
      </c>
      <c r="E958" s="140" t="s">
        <v>68</v>
      </c>
      <c r="F958" s="78"/>
    </row>
    <row r="959" ht="14.25" customHeight="1">
      <c r="A959" s="80" t="s">
        <v>70</v>
      </c>
      <c r="B959" s="81">
        <v>16.0</v>
      </c>
      <c r="C959" s="81">
        <v>0.0</v>
      </c>
      <c r="D959" s="81">
        <v>0.0</v>
      </c>
      <c r="E959" s="81">
        <v>16.0</v>
      </c>
      <c r="F959" s="78"/>
    </row>
    <row r="960" ht="14.25" customHeight="1">
      <c r="A960" s="80" t="s">
        <v>125</v>
      </c>
      <c r="B960" s="81">
        <v>11.0</v>
      </c>
      <c r="C960" s="81">
        <v>0.0</v>
      </c>
      <c r="D960" s="81">
        <v>3.0</v>
      </c>
      <c r="E960" s="81">
        <v>14.0</v>
      </c>
      <c r="F960" s="78"/>
    </row>
    <row r="961" ht="14.25" customHeight="1">
      <c r="A961" s="80" t="s">
        <v>123</v>
      </c>
      <c r="B961" s="81">
        <v>11.0</v>
      </c>
      <c r="C961" s="81">
        <v>0.0</v>
      </c>
      <c r="D961" s="81">
        <v>0.0</v>
      </c>
      <c r="E961" s="81">
        <v>11.0</v>
      </c>
      <c r="F961" s="78"/>
    </row>
    <row r="962" ht="14.25" customHeight="1">
      <c r="A962" s="80" t="s">
        <v>120</v>
      </c>
      <c r="B962" s="81">
        <v>7.0</v>
      </c>
      <c r="C962" s="81">
        <v>0.0</v>
      </c>
      <c r="D962" s="81">
        <v>2.0</v>
      </c>
      <c r="E962" s="81">
        <v>9.0</v>
      </c>
      <c r="F962" s="78"/>
    </row>
    <row r="963" ht="14.25" customHeight="1">
      <c r="A963" s="80" t="s">
        <v>121</v>
      </c>
      <c r="B963" s="81">
        <v>7.0</v>
      </c>
      <c r="C963" s="81">
        <v>0.0</v>
      </c>
      <c r="D963" s="81">
        <v>0.0</v>
      </c>
      <c r="E963" s="81">
        <v>7.0</v>
      </c>
      <c r="F963" s="78"/>
    </row>
    <row r="964" ht="14.25" customHeight="1">
      <c r="A964" s="80" t="s">
        <v>122</v>
      </c>
      <c r="B964" s="81">
        <v>3.0</v>
      </c>
      <c r="C964" s="81">
        <v>0.0</v>
      </c>
      <c r="D964" s="81">
        <v>0.0</v>
      </c>
      <c r="E964" s="81">
        <v>3.0</v>
      </c>
      <c r="F964" s="78"/>
    </row>
    <row r="965" ht="14.25" customHeight="1">
      <c r="A965" s="78"/>
      <c r="B965" s="78"/>
      <c r="C965" s="78"/>
      <c r="D965" s="78"/>
      <c r="E965" s="78"/>
      <c r="F965" s="78"/>
    </row>
    <row r="966" ht="14.25" customHeight="1">
      <c r="A966" s="84" t="s">
        <v>77</v>
      </c>
      <c r="B966" s="78"/>
      <c r="C966" s="78"/>
      <c r="D966" s="78"/>
      <c r="E966" s="78"/>
      <c r="F966" s="78"/>
    </row>
    <row r="967" ht="14.25" customHeight="1">
      <c r="A967" s="86" t="s">
        <v>79</v>
      </c>
      <c r="B967" s="86" t="s">
        <v>5</v>
      </c>
      <c r="C967" s="78"/>
      <c r="D967" s="78"/>
      <c r="E967" s="78"/>
      <c r="F967" s="78"/>
    </row>
    <row r="968" ht="14.25" customHeight="1">
      <c r="A968" s="87" t="s">
        <v>126</v>
      </c>
      <c r="B968" s="88">
        <v>9.0</v>
      </c>
      <c r="C968" s="78"/>
      <c r="D968" s="78"/>
      <c r="E968" s="78"/>
      <c r="F968" s="78"/>
    </row>
    <row r="969" ht="14.25" customHeight="1">
      <c r="A969" s="87" t="s">
        <v>206</v>
      </c>
      <c r="B969" s="88">
        <v>5.0</v>
      </c>
      <c r="C969" s="78"/>
      <c r="D969" s="78"/>
      <c r="E969" s="78"/>
      <c r="F969" s="78"/>
    </row>
    <row r="970" ht="14.25" customHeight="1">
      <c r="A970" s="87" t="s">
        <v>208</v>
      </c>
      <c r="B970" s="88">
        <v>4.0</v>
      </c>
      <c r="C970" s="78"/>
      <c r="D970" s="78"/>
      <c r="E970" s="78"/>
      <c r="F970" s="78"/>
    </row>
    <row r="971" ht="14.25" customHeight="1">
      <c r="A971" s="87" t="s">
        <v>207</v>
      </c>
      <c r="B971" s="88">
        <v>4.0</v>
      </c>
      <c r="C971" s="78"/>
      <c r="D971" s="78"/>
      <c r="E971" s="78"/>
      <c r="F971" s="78"/>
    </row>
    <row r="972" ht="14.25" customHeight="1">
      <c r="A972" s="87" t="s">
        <v>211</v>
      </c>
      <c r="B972" s="88">
        <v>1.0</v>
      </c>
      <c r="C972" s="78"/>
      <c r="D972" s="78"/>
      <c r="E972" s="78"/>
      <c r="F972" s="78"/>
    </row>
    <row r="973" ht="14.25" customHeight="1">
      <c r="A973" s="87" t="s">
        <v>174</v>
      </c>
      <c r="B973" s="88">
        <v>1.0</v>
      </c>
      <c r="C973" s="78"/>
      <c r="D973" s="78"/>
      <c r="E973" s="78"/>
      <c r="F973" s="78"/>
    </row>
    <row r="974" ht="14.25" customHeight="1">
      <c r="A974" s="87" t="s">
        <v>226</v>
      </c>
      <c r="B974" s="88">
        <v>1.0</v>
      </c>
      <c r="C974" s="78"/>
      <c r="D974" s="78"/>
      <c r="E974" s="78"/>
      <c r="F974" s="78"/>
    </row>
    <row r="975" ht="14.25" customHeight="1">
      <c r="A975" s="87" t="s">
        <v>88</v>
      </c>
      <c r="B975" s="88">
        <v>1.0</v>
      </c>
      <c r="C975" s="78"/>
      <c r="D975" s="78"/>
      <c r="E975" s="78"/>
      <c r="F975" s="78"/>
    </row>
    <row r="976" ht="14.25" customHeight="1">
      <c r="A976" s="78"/>
      <c r="B976" s="78"/>
      <c r="C976" s="78"/>
      <c r="D976" s="78"/>
      <c r="E976" s="78"/>
      <c r="F976" s="78"/>
    </row>
    <row r="977" ht="14.25" customHeight="1">
      <c r="A977" s="89" t="s">
        <v>127</v>
      </c>
      <c r="B977" s="132" t="s">
        <v>54</v>
      </c>
      <c r="C977" s="78"/>
      <c r="D977" s="78"/>
      <c r="E977" s="78"/>
      <c r="F977" s="78"/>
    </row>
    <row r="978" ht="14.25" customHeight="1">
      <c r="A978" s="89" t="s">
        <v>129</v>
      </c>
      <c r="B978" s="132" t="s">
        <v>54</v>
      </c>
      <c r="C978" s="78"/>
      <c r="D978" s="78"/>
      <c r="E978" s="78"/>
      <c r="F978" s="78"/>
    </row>
    <row r="979" ht="14.25" customHeight="1">
      <c r="A979" s="89" t="s">
        <v>131</v>
      </c>
      <c r="B979" s="132" t="s">
        <v>54</v>
      </c>
      <c r="C979" s="78"/>
      <c r="D979" s="78"/>
      <c r="E979" s="78"/>
      <c r="F979" s="78"/>
    </row>
    <row r="980" ht="14.25" customHeight="1">
      <c r="A980" s="89" t="s">
        <v>132</v>
      </c>
      <c r="B980" s="132" t="s">
        <v>54</v>
      </c>
      <c r="C980" s="78"/>
      <c r="D980" s="78"/>
      <c r="E980" s="78"/>
      <c r="F980" s="78"/>
    </row>
    <row r="981" ht="14.25" customHeight="1">
      <c r="A981" s="78"/>
      <c r="B981" s="78"/>
      <c r="C981" s="78"/>
      <c r="D981" s="78"/>
      <c r="E981" s="78"/>
      <c r="F981" s="78"/>
    </row>
    <row r="982" ht="14.25" customHeight="1">
      <c r="A982" s="93" t="s">
        <v>7</v>
      </c>
      <c r="B982" s="93" t="s">
        <v>54</v>
      </c>
      <c r="C982" s="95">
        <v>1.0</v>
      </c>
      <c r="D982" s="78"/>
      <c r="E982" s="78"/>
      <c r="F982" s="78"/>
    </row>
    <row r="983" ht="14.25" customHeight="1">
      <c r="A983" s="78"/>
      <c r="B983" s="78"/>
      <c r="C983" s="78"/>
      <c r="D983" s="78"/>
      <c r="E983" s="78"/>
      <c r="F983" s="78"/>
    </row>
    <row r="984" ht="14.25" customHeight="1">
      <c r="A984" s="66" t="s">
        <v>1</v>
      </c>
      <c r="B984" s="44">
        <v>46220.0</v>
      </c>
      <c r="C984" s="78"/>
      <c r="D984" s="78"/>
      <c r="E984" s="78"/>
      <c r="F984" s="78"/>
    </row>
    <row r="985" ht="14.25" customHeight="1">
      <c r="A985" s="96" t="s">
        <v>4</v>
      </c>
      <c r="B985" s="13" t="s">
        <v>225</v>
      </c>
      <c r="C985" s="78"/>
      <c r="D985" s="78"/>
      <c r="E985" s="78"/>
      <c r="F985" s="78"/>
    </row>
    <row r="986" ht="14.25" customHeight="1">
      <c r="A986" s="96" t="s">
        <v>5</v>
      </c>
      <c r="B986" s="13">
        <v>23.0</v>
      </c>
      <c r="C986" s="78"/>
      <c r="D986" s="78"/>
      <c r="E986" s="78"/>
      <c r="F986" s="78"/>
    </row>
    <row r="987" ht="14.25" customHeight="1">
      <c r="A987" s="96" t="s">
        <v>6</v>
      </c>
      <c r="B987" s="13" t="s">
        <v>227</v>
      </c>
      <c r="C987" s="78"/>
      <c r="D987" s="78"/>
      <c r="E987" s="78"/>
      <c r="F987" s="78"/>
    </row>
    <row r="988" ht="14.25" customHeight="1">
      <c r="A988" s="96" t="s">
        <v>7</v>
      </c>
      <c r="B988" s="13" t="s">
        <v>54</v>
      </c>
      <c r="C988" s="78"/>
      <c r="D988" s="78"/>
      <c r="E988" s="78"/>
      <c r="F988" s="78"/>
    </row>
    <row r="989" ht="14.25" customHeight="1">
      <c r="A989" s="96" t="s">
        <v>9</v>
      </c>
      <c r="B989" s="13" t="s">
        <v>64</v>
      </c>
      <c r="C989" s="78"/>
      <c r="D989" s="78"/>
      <c r="E989" s="78"/>
      <c r="F989" s="78"/>
    </row>
    <row r="990" ht="14.25" customHeight="1">
      <c r="A990" s="96" t="s">
        <v>18</v>
      </c>
      <c r="B990" s="13">
        <v>0.0</v>
      </c>
      <c r="C990" s="78"/>
      <c r="D990" s="78"/>
      <c r="E990" s="78"/>
      <c r="F990" s="78"/>
    </row>
    <row r="991" ht="14.25" customHeight="1">
      <c r="A991" s="96" t="s">
        <v>22</v>
      </c>
      <c r="B991" s="13" t="s">
        <v>54</v>
      </c>
      <c r="C991" s="78"/>
      <c r="D991" s="78"/>
      <c r="E991" s="78"/>
      <c r="F991" s="78"/>
    </row>
    <row r="992" ht="14.25" customHeight="1">
      <c r="A992" s="96" t="s">
        <v>29</v>
      </c>
      <c r="B992" s="39">
        <v>0.0435</v>
      </c>
      <c r="C992" s="78"/>
      <c r="D992" s="78"/>
      <c r="E992" s="78"/>
      <c r="F992" s="78"/>
    </row>
    <row r="993" ht="14.25" customHeight="1"/>
    <row r="994" ht="14.25" customHeight="1"/>
    <row r="995" ht="14.25" customHeight="1">
      <c r="A995" s="77" t="s">
        <v>228</v>
      </c>
      <c r="B995" s="78"/>
      <c r="C995" s="78"/>
      <c r="D995" s="78"/>
      <c r="E995" s="78"/>
      <c r="F995" s="78"/>
    </row>
    <row r="996" ht="14.25" customHeight="1">
      <c r="A996" s="79" t="s">
        <v>42</v>
      </c>
      <c r="B996" s="79" t="s">
        <v>44</v>
      </c>
      <c r="C996" s="79" t="s">
        <v>104</v>
      </c>
      <c r="D996" s="79" t="s">
        <v>46</v>
      </c>
      <c r="E996" s="79" t="s">
        <v>47</v>
      </c>
      <c r="F996" s="79" t="s">
        <v>43</v>
      </c>
    </row>
    <row r="997" ht="14.25" customHeight="1">
      <c r="A997" s="80" t="s">
        <v>196</v>
      </c>
      <c r="B997" s="80" t="s">
        <v>229</v>
      </c>
      <c r="C997" s="80" t="s">
        <v>230</v>
      </c>
      <c r="D997" s="81">
        <v>1948.0</v>
      </c>
      <c r="E997" s="81">
        <v>1630.0</v>
      </c>
      <c r="F997" s="81">
        <v>3.0</v>
      </c>
    </row>
    <row r="998" ht="14.25" customHeight="1">
      <c r="A998" s="80" t="s">
        <v>199</v>
      </c>
      <c r="B998" s="80" t="s">
        <v>231</v>
      </c>
      <c r="C998" s="80" t="s">
        <v>232</v>
      </c>
      <c r="D998" s="81">
        <v>4201.0</v>
      </c>
      <c r="E998" s="81">
        <v>3794.0</v>
      </c>
      <c r="F998" s="81">
        <v>15.0</v>
      </c>
    </row>
    <row r="999" ht="14.25" customHeight="1">
      <c r="A999" s="80" t="s">
        <v>202</v>
      </c>
      <c r="B999" s="80" t="s">
        <v>233</v>
      </c>
      <c r="C999" s="80" t="s">
        <v>234</v>
      </c>
      <c r="D999" s="81">
        <v>3307.0</v>
      </c>
      <c r="E999" s="81">
        <v>2903.0</v>
      </c>
      <c r="F999" s="81">
        <v>15.0</v>
      </c>
    </row>
    <row r="1000" ht="14.25" customHeight="1">
      <c r="A1000" s="78"/>
      <c r="B1000" s="82" t="s">
        <v>65</v>
      </c>
      <c r="C1000" s="82" t="s">
        <v>235</v>
      </c>
      <c r="D1000" s="78"/>
      <c r="E1000" s="78"/>
      <c r="F1000" s="83">
        <v>33.0</v>
      </c>
    </row>
    <row r="1001" ht="14.25" customHeight="1">
      <c r="A1001" s="78"/>
      <c r="B1001" s="78"/>
      <c r="C1001" s="78"/>
      <c r="D1001" s="78"/>
      <c r="E1001" s="78"/>
      <c r="F1001" s="78"/>
    </row>
    <row r="1002" ht="14.25" customHeight="1">
      <c r="A1002" s="84" t="s">
        <v>119</v>
      </c>
      <c r="B1002" s="78"/>
      <c r="C1002" s="78"/>
      <c r="D1002" s="78"/>
      <c r="E1002" s="78"/>
      <c r="F1002" s="78"/>
    </row>
    <row r="1003" ht="14.25" customHeight="1">
      <c r="A1003" s="79" t="s">
        <v>67</v>
      </c>
      <c r="B1003" s="79" t="s">
        <v>68</v>
      </c>
      <c r="C1003" s="78"/>
      <c r="D1003" s="78"/>
      <c r="E1003" s="78"/>
      <c r="F1003" s="78"/>
    </row>
    <row r="1004" ht="14.25" customHeight="1">
      <c r="A1004" s="80" t="s">
        <v>122</v>
      </c>
      <c r="B1004" s="81">
        <v>10.0</v>
      </c>
      <c r="C1004" s="78"/>
      <c r="D1004" s="78"/>
      <c r="E1004" s="78"/>
      <c r="F1004" s="78"/>
    </row>
    <row r="1005" ht="14.25" customHeight="1">
      <c r="A1005" s="80" t="s">
        <v>69</v>
      </c>
      <c r="B1005" s="81">
        <v>8.0</v>
      </c>
      <c r="C1005" s="78"/>
      <c r="D1005" s="78"/>
      <c r="E1005" s="78"/>
      <c r="F1005" s="78"/>
    </row>
    <row r="1006" ht="14.25" customHeight="1">
      <c r="A1006" s="80" t="s">
        <v>121</v>
      </c>
      <c r="B1006" s="81">
        <v>7.0</v>
      </c>
      <c r="C1006" s="78"/>
      <c r="D1006" s="78"/>
      <c r="E1006" s="78"/>
      <c r="F1006" s="78"/>
    </row>
    <row r="1007" ht="14.25" customHeight="1">
      <c r="A1007" s="80" t="s">
        <v>70</v>
      </c>
      <c r="B1007" s="81">
        <v>6.0</v>
      </c>
      <c r="C1007" s="78"/>
      <c r="D1007" s="78"/>
      <c r="E1007" s="78"/>
      <c r="F1007" s="78"/>
    </row>
    <row r="1008" ht="14.25" customHeight="1">
      <c r="A1008" s="80" t="s">
        <v>120</v>
      </c>
      <c r="B1008" s="81">
        <v>6.0</v>
      </c>
      <c r="C1008" s="78"/>
      <c r="D1008" s="78"/>
      <c r="E1008" s="78"/>
      <c r="F1008" s="78"/>
    </row>
    <row r="1009" ht="14.25" customHeight="1">
      <c r="A1009" s="80" t="s">
        <v>123</v>
      </c>
      <c r="B1009" s="81">
        <v>4.0</v>
      </c>
      <c r="C1009" s="78"/>
      <c r="D1009" s="78"/>
      <c r="E1009" s="78"/>
      <c r="F1009" s="78"/>
    </row>
    <row r="1010" ht="14.25" customHeight="1">
      <c r="A1010" s="78"/>
      <c r="B1010" s="81">
        <v>41.0</v>
      </c>
      <c r="C1010" s="78"/>
      <c r="D1010" s="78"/>
      <c r="E1010" s="78"/>
      <c r="F1010" s="78"/>
    </row>
    <row r="1011" ht="14.25" customHeight="1">
      <c r="A1011" s="78"/>
      <c r="B1011" s="78"/>
      <c r="C1011" s="78"/>
      <c r="D1011" s="78"/>
      <c r="E1011" s="78"/>
      <c r="F1011" s="78"/>
    </row>
    <row r="1012" ht="14.25" customHeight="1">
      <c r="A1012" s="84" t="s">
        <v>124</v>
      </c>
      <c r="B1012" s="78"/>
      <c r="C1012" s="78"/>
      <c r="D1012" s="78"/>
      <c r="E1012" s="78"/>
      <c r="F1012" s="78"/>
    </row>
    <row r="1013" ht="14.25" customHeight="1">
      <c r="A1013" s="79" t="s">
        <v>67</v>
      </c>
      <c r="B1013" s="140" t="s">
        <v>73</v>
      </c>
      <c r="C1013" s="140" t="s">
        <v>74</v>
      </c>
      <c r="D1013" s="140" t="s">
        <v>75</v>
      </c>
      <c r="E1013" s="140" t="s">
        <v>68</v>
      </c>
      <c r="F1013" s="78"/>
    </row>
    <row r="1014" ht="14.25" customHeight="1">
      <c r="A1014" s="80" t="s">
        <v>70</v>
      </c>
      <c r="B1014" s="81">
        <v>23.0</v>
      </c>
      <c r="C1014" s="81">
        <v>0.0</v>
      </c>
      <c r="D1014" s="81">
        <v>6.0</v>
      </c>
      <c r="E1014" s="81">
        <v>29.0</v>
      </c>
      <c r="F1014" s="78"/>
    </row>
    <row r="1015" ht="14.25" customHeight="1">
      <c r="A1015" s="80" t="s">
        <v>120</v>
      </c>
      <c r="B1015" s="81">
        <v>6.0</v>
      </c>
      <c r="C1015" s="81">
        <v>0.0</v>
      </c>
      <c r="D1015" s="81">
        <v>0.0</v>
      </c>
      <c r="E1015" s="81">
        <v>6.0</v>
      </c>
      <c r="F1015" s="78"/>
    </row>
    <row r="1016" ht="14.25" customHeight="1">
      <c r="A1016" s="80" t="s">
        <v>121</v>
      </c>
      <c r="B1016" s="81">
        <v>3.0</v>
      </c>
      <c r="C1016" s="81">
        <v>0.0</v>
      </c>
      <c r="D1016" s="81">
        <v>0.0</v>
      </c>
      <c r="E1016" s="81">
        <v>3.0</v>
      </c>
      <c r="F1016" s="78"/>
    </row>
    <row r="1017" ht="14.25" customHeight="1">
      <c r="A1017" s="80" t="s">
        <v>122</v>
      </c>
      <c r="B1017" s="81">
        <v>0.0</v>
      </c>
      <c r="C1017" s="81">
        <v>0.0</v>
      </c>
      <c r="D1017" s="81">
        <v>2.0</v>
      </c>
      <c r="E1017" s="81">
        <v>2.0</v>
      </c>
      <c r="F1017" s="78"/>
    </row>
    <row r="1018" ht="14.25" customHeight="1">
      <c r="A1018" s="80" t="s">
        <v>153</v>
      </c>
      <c r="B1018" s="81">
        <v>1.0</v>
      </c>
      <c r="C1018" s="81">
        <v>0.0</v>
      </c>
      <c r="D1018" s="81">
        <v>0.0</v>
      </c>
      <c r="E1018" s="81">
        <v>1.0</v>
      </c>
      <c r="F1018" s="78"/>
    </row>
    <row r="1019" ht="14.25" customHeight="1">
      <c r="A1019" s="78"/>
      <c r="B1019" s="78"/>
      <c r="C1019" s="78"/>
      <c r="D1019" s="78"/>
      <c r="E1019" s="78"/>
      <c r="F1019" s="78"/>
    </row>
    <row r="1020" ht="14.25" customHeight="1">
      <c r="A1020" s="84" t="s">
        <v>77</v>
      </c>
      <c r="B1020" s="78"/>
      <c r="C1020" s="78"/>
      <c r="D1020" s="78"/>
      <c r="E1020" s="78"/>
      <c r="F1020" s="78"/>
    </row>
    <row r="1021" ht="14.25" customHeight="1">
      <c r="A1021" s="86" t="s">
        <v>79</v>
      </c>
      <c r="B1021" s="86" t="s">
        <v>5</v>
      </c>
      <c r="C1021" s="78"/>
      <c r="D1021" s="78"/>
      <c r="E1021" s="78"/>
      <c r="F1021" s="78"/>
    </row>
    <row r="1022" ht="14.25" customHeight="1">
      <c r="A1022" s="87" t="s">
        <v>126</v>
      </c>
      <c r="B1022" s="88">
        <v>13.0</v>
      </c>
      <c r="C1022" s="78"/>
      <c r="D1022" s="78"/>
      <c r="E1022" s="78"/>
      <c r="F1022" s="78"/>
    </row>
    <row r="1023" ht="14.25" customHeight="1">
      <c r="A1023" s="87" t="s">
        <v>207</v>
      </c>
      <c r="B1023" s="88">
        <v>8.0</v>
      </c>
      <c r="C1023" s="78"/>
      <c r="D1023" s="78"/>
      <c r="E1023" s="78"/>
      <c r="F1023" s="78"/>
    </row>
    <row r="1024" ht="14.25" customHeight="1">
      <c r="A1024" s="87" t="s">
        <v>86</v>
      </c>
      <c r="B1024" s="88">
        <v>1.0</v>
      </c>
      <c r="C1024" s="78"/>
      <c r="D1024" s="78"/>
      <c r="E1024" s="78"/>
      <c r="F1024" s="78"/>
    </row>
    <row r="1025" ht="14.25" customHeight="1">
      <c r="A1025" s="87" t="s">
        <v>208</v>
      </c>
      <c r="B1025" s="88">
        <v>1.0</v>
      </c>
      <c r="C1025" s="78"/>
      <c r="D1025" s="78"/>
      <c r="E1025" s="78"/>
      <c r="F1025" s="78"/>
    </row>
    <row r="1026" ht="14.25" customHeight="1">
      <c r="A1026" s="87" t="s">
        <v>206</v>
      </c>
      <c r="B1026" s="88">
        <v>1.0</v>
      </c>
      <c r="C1026" s="78"/>
      <c r="D1026" s="78"/>
      <c r="E1026" s="78"/>
      <c r="F1026" s="78"/>
    </row>
    <row r="1027" ht="14.25" customHeight="1">
      <c r="A1027" s="87" t="s">
        <v>88</v>
      </c>
      <c r="B1027" s="88">
        <v>1.0</v>
      </c>
      <c r="C1027" s="78"/>
      <c r="D1027" s="78"/>
      <c r="E1027" s="78"/>
      <c r="F1027" s="78"/>
    </row>
    <row r="1028" ht="14.25" customHeight="1">
      <c r="A1028" s="78"/>
      <c r="B1028" s="78"/>
      <c r="C1028" s="78"/>
      <c r="D1028" s="78"/>
      <c r="E1028" s="78"/>
      <c r="F1028" s="78"/>
    </row>
    <row r="1029" ht="14.25" customHeight="1">
      <c r="A1029" s="89" t="s">
        <v>127</v>
      </c>
      <c r="B1029" s="132" t="s">
        <v>54</v>
      </c>
      <c r="C1029" s="78"/>
      <c r="D1029" s="78"/>
      <c r="E1029" s="78"/>
      <c r="F1029" s="78"/>
    </row>
    <row r="1030" ht="14.25" customHeight="1">
      <c r="A1030" s="89" t="s">
        <v>129</v>
      </c>
      <c r="B1030" s="132" t="s">
        <v>54</v>
      </c>
      <c r="C1030" s="78"/>
      <c r="D1030" s="78"/>
      <c r="E1030" s="78"/>
      <c r="F1030" s="78"/>
    </row>
    <row r="1031" ht="14.25" customHeight="1">
      <c r="A1031" s="89" t="s">
        <v>131</v>
      </c>
      <c r="B1031" s="132" t="s">
        <v>236</v>
      </c>
      <c r="C1031" s="78"/>
      <c r="D1031" s="78"/>
      <c r="E1031" s="78"/>
      <c r="F1031" s="78"/>
    </row>
    <row r="1032" ht="14.25" customHeight="1">
      <c r="A1032" s="89" t="s">
        <v>132</v>
      </c>
      <c r="B1032" s="132" t="s">
        <v>54</v>
      </c>
      <c r="C1032" s="78"/>
      <c r="D1032" s="78"/>
      <c r="E1032" s="78"/>
      <c r="F1032" s="78"/>
    </row>
    <row r="1033" ht="14.25" customHeight="1">
      <c r="A1033" s="78"/>
      <c r="B1033" s="78"/>
      <c r="C1033" s="78"/>
      <c r="D1033" s="78"/>
      <c r="E1033" s="78"/>
      <c r="F1033" s="78"/>
    </row>
    <row r="1034" ht="14.25" customHeight="1">
      <c r="A1034" s="93" t="s">
        <v>7</v>
      </c>
      <c r="B1034" s="93" t="s">
        <v>236</v>
      </c>
      <c r="C1034" s="95">
        <v>1.0</v>
      </c>
      <c r="D1034" s="78"/>
      <c r="E1034" s="78"/>
      <c r="F1034" s="78"/>
    </row>
    <row r="1035" ht="14.25" customHeight="1">
      <c r="A1035" s="78"/>
      <c r="B1035" s="78"/>
      <c r="C1035" s="78"/>
      <c r="D1035" s="78"/>
      <c r="E1035" s="78"/>
      <c r="F1035" s="78"/>
    </row>
    <row r="1036" ht="14.25" customHeight="1">
      <c r="A1036" s="66" t="s">
        <v>1</v>
      </c>
      <c r="B1036" s="44">
        <v>46221.0</v>
      </c>
      <c r="C1036" s="78"/>
      <c r="D1036" s="78"/>
      <c r="E1036" s="78"/>
      <c r="F1036" s="78"/>
    </row>
    <row r="1037" ht="14.25" customHeight="1">
      <c r="A1037" s="96" t="s">
        <v>4</v>
      </c>
      <c r="B1037" s="13" t="s">
        <v>235</v>
      </c>
      <c r="C1037" s="78"/>
      <c r="D1037" s="78"/>
      <c r="E1037" s="78"/>
      <c r="F1037" s="78"/>
    </row>
    <row r="1038" ht="14.25" customHeight="1">
      <c r="A1038" s="96" t="s">
        <v>5</v>
      </c>
      <c r="B1038" s="13">
        <v>33.0</v>
      </c>
      <c r="C1038" s="78"/>
      <c r="D1038" s="78"/>
      <c r="E1038" s="78"/>
      <c r="F1038" s="78"/>
    </row>
    <row r="1039" ht="14.25" customHeight="1">
      <c r="A1039" s="96" t="s">
        <v>6</v>
      </c>
      <c r="B1039" s="13" t="s">
        <v>237</v>
      </c>
      <c r="C1039" s="78"/>
      <c r="D1039" s="78"/>
      <c r="E1039" s="78"/>
      <c r="F1039" s="78"/>
    </row>
    <row r="1040" ht="14.25" customHeight="1">
      <c r="A1040" s="96" t="s">
        <v>7</v>
      </c>
      <c r="B1040" s="13" t="s">
        <v>236</v>
      </c>
      <c r="C1040" s="78"/>
      <c r="D1040" s="78"/>
      <c r="E1040" s="78"/>
      <c r="F1040" s="78"/>
    </row>
    <row r="1041" ht="14.25" customHeight="1">
      <c r="A1041" s="96" t="s">
        <v>9</v>
      </c>
      <c r="B1041" s="26">
        <v>0.27</v>
      </c>
      <c r="C1041" s="78"/>
      <c r="D1041" s="78"/>
      <c r="E1041" s="78"/>
      <c r="F1041" s="78"/>
    </row>
    <row r="1042" ht="14.25" customHeight="1">
      <c r="A1042" s="96" t="s">
        <v>18</v>
      </c>
      <c r="B1042" s="13">
        <v>3.68</v>
      </c>
      <c r="C1042" s="78"/>
      <c r="D1042" s="78"/>
      <c r="E1042" s="78"/>
      <c r="F1042" s="78"/>
    </row>
    <row r="1043" ht="14.25" customHeight="1">
      <c r="A1043" s="96" t="s">
        <v>22</v>
      </c>
      <c r="B1043" s="13" t="s">
        <v>236</v>
      </c>
      <c r="C1043" s="78"/>
      <c r="D1043" s="78"/>
      <c r="E1043" s="78"/>
      <c r="F1043" s="78"/>
    </row>
    <row r="1044" ht="14.25" customHeight="1">
      <c r="A1044" s="96" t="s">
        <v>29</v>
      </c>
      <c r="B1044" s="39">
        <v>0.0303</v>
      </c>
      <c r="C1044" s="78"/>
      <c r="D1044" s="78"/>
      <c r="E1044" s="78"/>
      <c r="F1044" s="78"/>
    </row>
    <row r="1045" ht="14.25" customHeight="1">
      <c r="A1045" s="80"/>
      <c r="B1045" s="142"/>
      <c r="C1045" s="78"/>
      <c r="D1045" s="78"/>
      <c r="E1045" s="78"/>
      <c r="F1045" s="78"/>
    </row>
    <row r="1046" ht="14.25" customHeight="1">
      <c r="A1046" s="80"/>
      <c r="B1046" s="142"/>
      <c r="C1046" s="78"/>
      <c r="D1046" s="78"/>
      <c r="E1046" s="78"/>
      <c r="F1046" s="78"/>
    </row>
    <row r="1047" ht="14.25" customHeight="1">
      <c r="A1047" s="138" t="s">
        <v>238</v>
      </c>
      <c r="B1047" s="143"/>
      <c r="C1047" s="78"/>
      <c r="D1047" s="78"/>
      <c r="E1047" s="78"/>
      <c r="F1047" s="78"/>
    </row>
    <row r="1048" ht="14.25" customHeight="1">
      <c r="A1048" s="79" t="s">
        <v>42</v>
      </c>
      <c r="B1048" s="79" t="s">
        <v>44</v>
      </c>
      <c r="C1048" s="79" t="s">
        <v>104</v>
      </c>
      <c r="D1048" s="79" t="s">
        <v>46</v>
      </c>
      <c r="E1048" s="79" t="s">
        <v>47</v>
      </c>
      <c r="F1048" s="79" t="s">
        <v>43</v>
      </c>
    </row>
    <row r="1049" ht="14.25" customHeight="1">
      <c r="A1049" s="80" t="s">
        <v>196</v>
      </c>
      <c r="B1049" s="80" t="s">
        <v>239</v>
      </c>
      <c r="C1049" s="80" t="s">
        <v>240</v>
      </c>
      <c r="D1049" s="81">
        <v>1686.0</v>
      </c>
      <c r="E1049" s="81">
        <v>1370.0</v>
      </c>
      <c r="F1049" s="81">
        <v>5.0</v>
      </c>
    </row>
    <row r="1050" ht="14.25" customHeight="1">
      <c r="A1050" s="80" t="s">
        <v>199</v>
      </c>
      <c r="B1050" s="80" t="s">
        <v>241</v>
      </c>
      <c r="C1050" s="80" t="s">
        <v>242</v>
      </c>
      <c r="D1050" s="81">
        <v>3178.0</v>
      </c>
      <c r="E1050" s="81">
        <v>2804.0</v>
      </c>
      <c r="F1050" s="81">
        <v>13.0</v>
      </c>
    </row>
    <row r="1051" ht="14.25" customHeight="1">
      <c r="A1051" s="80" t="s">
        <v>202</v>
      </c>
      <c r="B1051" s="80" t="s">
        <v>243</v>
      </c>
      <c r="C1051" s="80" t="s">
        <v>244</v>
      </c>
      <c r="D1051" s="81">
        <v>2979.0</v>
      </c>
      <c r="E1051" s="81">
        <v>2695.0</v>
      </c>
      <c r="F1051" s="81">
        <v>18.0</v>
      </c>
    </row>
    <row r="1052" ht="14.25" customHeight="1">
      <c r="A1052" s="144"/>
      <c r="B1052" s="83" t="s">
        <v>65</v>
      </c>
      <c r="C1052" s="83" t="s">
        <v>245</v>
      </c>
      <c r="D1052" s="78"/>
      <c r="E1052" s="78"/>
      <c r="F1052" s="83">
        <v>36.0</v>
      </c>
    </row>
    <row r="1053" ht="14.25" customHeight="1">
      <c r="A1053" s="144"/>
      <c r="B1053" s="143"/>
      <c r="C1053" s="78"/>
      <c r="D1053" s="78"/>
      <c r="E1053" s="78"/>
      <c r="F1053" s="78"/>
    </row>
    <row r="1054" ht="14.25" customHeight="1">
      <c r="A1054" s="84" t="s">
        <v>119</v>
      </c>
      <c r="B1054" s="143"/>
      <c r="C1054" s="78"/>
      <c r="D1054" s="78"/>
      <c r="E1054" s="78"/>
      <c r="F1054" s="78"/>
    </row>
    <row r="1055" ht="14.25" customHeight="1">
      <c r="A1055" s="79" t="s">
        <v>67</v>
      </c>
      <c r="B1055" s="79" t="s">
        <v>68</v>
      </c>
      <c r="C1055" s="78"/>
      <c r="D1055" s="78"/>
      <c r="E1055" s="78"/>
      <c r="F1055" s="78"/>
    </row>
    <row r="1056" ht="14.25" customHeight="1">
      <c r="A1056" s="80" t="s">
        <v>69</v>
      </c>
      <c r="B1056" s="81">
        <v>10.0</v>
      </c>
      <c r="C1056" s="78"/>
      <c r="D1056" s="78"/>
      <c r="E1056" s="78"/>
      <c r="F1056" s="78"/>
    </row>
    <row r="1057" ht="14.25" customHeight="1">
      <c r="A1057" s="80" t="s">
        <v>120</v>
      </c>
      <c r="B1057" s="81">
        <v>10.0</v>
      </c>
      <c r="C1057" s="78"/>
      <c r="D1057" s="78"/>
      <c r="E1057" s="78"/>
      <c r="F1057" s="78"/>
    </row>
    <row r="1058" ht="14.25" customHeight="1">
      <c r="A1058" s="80" t="s">
        <v>121</v>
      </c>
      <c r="B1058" s="81">
        <v>8.0</v>
      </c>
      <c r="C1058" s="78"/>
      <c r="D1058" s="78"/>
      <c r="E1058" s="78"/>
      <c r="F1058" s="78"/>
    </row>
    <row r="1059" ht="14.25" customHeight="1">
      <c r="A1059" s="80" t="s">
        <v>122</v>
      </c>
      <c r="B1059" s="81">
        <v>7.0</v>
      </c>
      <c r="C1059" s="78"/>
      <c r="D1059" s="78"/>
      <c r="E1059" s="78"/>
      <c r="F1059" s="78"/>
    </row>
    <row r="1060" ht="14.25" customHeight="1">
      <c r="A1060" s="144"/>
      <c r="B1060" s="83">
        <v>35.0</v>
      </c>
      <c r="C1060" s="78"/>
      <c r="D1060" s="78"/>
      <c r="E1060" s="78"/>
      <c r="F1060" s="78"/>
    </row>
    <row r="1061" ht="14.25" customHeight="1">
      <c r="A1061" s="144"/>
      <c r="B1061" s="143"/>
      <c r="C1061" s="78"/>
      <c r="D1061" s="78"/>
      <c r="E1061" s="78"/>
      <c r="F1061" s="78"/>
    </row>
    <row r="1062" ht="14.25" customHeight="1">
      <c r="A1062" s="84" t="s">
        <v>124</v>
      </c>
      <c r="B1062" s="143"/>
      <c r="C1062" s="78"/>
      <c r="D1062" s="78"/>
      <c r="E1062" s="78"/>
      <c r="F1062" s="78"/>
    </row>
    <row r="1063" ht="14.25" customHeight="1">
      <c r="A1063" s="79" t="s">
        <v>67</v>
      </c>
      <c r="B1063" s="140" t="s">
        <v>73</v>
      </c>
      <c r="C1063" s="140" t="s">
        <v>74</v>
      </c>
      <c r="D1063" s="140" t="s">
        <v>75</v>
      </c>
      <c r="E1063" s="140" t="s">
        <v>68</v>
      </c>
      <c r="F1063" s="78"/>
    </row>
    <row r="1064" ht="14.25" customHeight="1">
      <c r="A1064" s="80" t="s">
        <v>121</v>
      </c>
      <c r="B1064" s="81">
        <v>3.0</v>
      </c>
      <c r="C1064" s="81">
        <v>0.0</v>
      </c>
      <c r="D1064" s="81">
        <v>0.0</v>
      </c>
      <c r="E1064" s="81">
        <v>3.0</v>
      </c>
      <c r="F1064" s="78"/>
    </row>
    <row r="1065" ht="14.25" customHeight="1">
      <c r="A1065" s="80" t="s">
        <v>69</v>
      </c>
      <c r="B1065" s="81">
        <v>2.0</v>
      </c>
      <c r="C1065" s="81">
        <v>0.0</v>
      </c>
      <c r="D1065" s="81">
        <v>0.0</v>
      </c>
      <c r="E1065" s="81">
        <v>2.0</v>
      </c>
      <c r="F1065" s="78"/>
    </row>
    <row r="1066" ht="14.25" customHeight="1">
      <c r="A1066" s="80" t="s">
        <v>70</v>
      </c>
      <c r="B1066" s="81">
        <v>1.0</v>
      </c>
      <c r="C1066" s="81">
        <v>0.0</v>
      </c>
      <c r="D1066" s="81">
        <v>0.0</v>
      </c>
      <c r="E1066" s="81">
        <v>1.0</v>
      </c>
      <c r="F1066" s="78"/>
    </row>
    <row r="1067" ht="14.25" customHeight="1">
      <c r="A1067" s="144"/>
      <c r="B1067" s="143"/>
      <c r="C1067" s="78"/>
      <c r="D1067" s="78"/>
      <c r="E1067" s="78"/>
      <c r="F1067" s="78"/>
    </row>
    <row r="1068" ht="14.25" customHeight="1">
      <c r="A1068" s="84" t="s">
        <v>77</v>
      </c>
      <c r="B1068" s="143"/>
      <c r="C1068" s="78"/>
      <c r="D1068" s="78"/>
      <c r="E1068" s="78"/>
      <c r="F1068" s="78"/>
    </row>
    <row r="1069" ht="14.25" customHeight="1">
      <c r="A1069" s="86" t="s">
        <v>79</v>
      </c>
      <c r="B1069" s="86" t="s">
        <v>5</v>
      </c>
      <c r="C1069" s="78"/>
      <c r="D1069" s="78"/>
      <c r="E1069" s="78"/>
      <c r="F1069" s="78"/>
    </row>
    <row r="1070" ht="14.25" customHeight="1">
      <c r="A1070" s="87" t="s">
        <v>126</v>
      </c>
      <c r="B1070" s="88">
        <v>14.0</v>
      </c>
      <c r="C1070" s="78"/>
      <c r="D1070" s="78"/>
      <c r="E1070" s="78"/>
      <c r="F1070" s="78"/>
    </row>
    <row r="1071" ht="14.25" customHeight="1">
      <c r="A1071" s="87" t="s">
        <v>207</v>
      </c>
      <c r="B1071" s="88">
        <v>4.0</v>
      </c>
      <c r="C1071" s="78"/>
      <c r="D1071" s="78"/>
      <c r="E1071" s="78"/>
      <c r="F1071" s="78"/>
    </row>
    <row r="1072" ht="14.25" customHeight="1">
      <c r="A1072" s="87" t="s">
        <v>208</v>
      </c>
      <c r="B1072" s="88">
        <v>2.0</v>
      </c>
      <c r="C1072" s="78"/>
      <c r="D1072" s="78"/>
      <c r="E1072" s="78"/>
      <c r="F1072" s="78"/>
    </row>
    <row r="1073" ht="14.25" customHeight="1">
      <c r="A1073" s="87" t="s">
        <v>246</v>
      </c>
      <c r="B1073" s="88">
        <v>1.0</v>
      </c>
      <c r="C1073" s="78"/>
      <c r="D1073" s="78"/>
      <c r="E1073" s="78"/>
      <c r="F1073" s="78"/>
    </row>
    <row r="1074" ht="14.25" customHeight="1">
      <c r="A1074" s="144"/>
      <c r="B1074" s="143"/>
      <c r="C1074" s="78"/>
      <c r="D1074" s="78"/>
      <c r="E1074" s="78"/>
      <c r="F1074" s="78"/>
    </row>
    <row r="1075" ht="14.25" customHeight="1">
      <c r="A1075" s="89" t="s">
        <v>127</v>
      </c>
      <c r="B1075" s="132" t="s">
        <v>54</v>
      </c>
      <c r="C1075" s="78"/>
      <c r="D1075" s="78"/>
      <c r="E1075" s="78"/>
      <c r="F1075" s="78"/>
    </row>
    <row r="1076" ht="14.25" customHeight="1">
      <c r="A1076" s="89" t="s">
        <v>129</v>
      </c>
      <c r="B1076" s="132" t="s">
        <v>54</v>
      </c>
      <c r="C1076" s="78"/>
      <c r="D1076" s="78"/>
      <c r="E1076" s="78"/>
      <c r="F1076" s="78"/>
    </row>
    <row r="1077" ht="14.25" customHeight="1">
      <c r="A1077" s="89" t="s">
        <v>131</v>
      </c>
      <c r="B1077" s="132" t="s">
        <v>54</v>
      </c>
      <c r="C1077" s="78"/>
      <c r="D1077" s="78"/>
      <c r="E1077" s="78"/>
      <c r="F1077" s="78"/>
    </row>
    <row r="1078" ht="14.25" customHeight="1">
      <c r="A1078" s="89" t="s">
        <v>132</v>
      </c>
      <c r="B1078" s="132" t="s">
        <v>54</v>
      </c>
      <c r="C1078" s="78"/>
      <c r="D1078" s="78"/>
      <c r="E1078" s="78"/>
      <c r="F1078" s="78"/>
    </row>
    <row r="1079" ht="14.25" customHeight="1">
      <c r="A1079" s="144"/>
      <c r="B1079" s="143"/>
      <c r="C1079" s="78"/>
      <c r="D1079" s="78"/>
      <c r="E1079" s="78"/>
      <c r="F1079" s="78"/>
    </row>
    <row r="1080" ht="14.25" customHeight="1">
      <c r="A1080" s="93" t="s">
        <v>7</v>
      </c>
      <c r="B1080" s="93" t="s">
        <v>54</v>
      </c>
      <c r="C1080" s="95">
        <v>1.0</v>
      </c>
      <c r="D1080" s="78"/>
      <c r="E1080" s="78"/>
      <c r="F1080" s="78"/>
    </row>
    <row r="1081" ht="14.25" customHeight="1">
      <c r="A1081" s="144"/>
      <c r="B1081" s="143"/>
      <c r="C1081" s="78"/>
      <c r="D1081" s="78"/>
      <c r="E1081" s="78"/>
      <c r="F1081" s="78"/>
    </row>
    <row r="1082" ht="14.25" customHeight="1">
      <c r="A1082" s="66" t="s">
        <v>1</v>
      </c>
      <c r="B1082" s="44">
        <v>46222.0</v>
      </c>
      <c r="C1082" s="78"/>
      <c r="D1082" s="78"/>
      <c r="E1082" s="78"/>
      <c r="F1082" s="78"/>
    </row>
    <row r="1083" ht="14.25" customHeight="1">
      <c r="A1083" s="96" t="s">
        <v>4</v>
      </c>
      <c r="B1083" s="13" t="s">
        <v>245</v>
      </c>
      <c r="C1083" s="78"/>
      <c r="D1083" s="78"/>
      <c r="E1083" s="78"/>
      <c r="F1083" s="78"/>
    </row>
    <row r="1084" ht="14.25" customHeight="1">
      <c r="A1084" s="96" t="s">
        <v>5</v>
      </c>
      <c r="B1084" s="13">
        <v>36.0</v>
      </c>
      <c r="C1084" s="78"/>
      <c r="D1084" s="78"/>
      <c r="E1084" s="78"/>
      <c r="F1084" s="78"/>
    </row>
    <row r="1085" ht="14.25" customHeight="1">
      <c r="A1085" s="96" t="s">
        <v>6</v>
      </c>
      <c r="B1085" s="13" t="s">
        <v>247</v>
      </c>
      <c r="C1085" s="78"/>
      <c r="D1085" s="78"/>
      <c r="E1085" s="78"/>
      <c r="F1085" s="78"/>
    </row>
    <row r="1086" ht="14.25" customHeight="1">
      <c r="A1086" s="96" t="s">
        <v>7</v>
      </c>
      <c r="B1086" s="13" t="s">
        <v>54</v>
      </c>
      <c r="C1086" s="78"/>
      <c r="D1086" s="78"/>
      <c r="E1086" s="78"/>
      <c r="F1086" s="78"/>
    </row>
    <row r="1087" ht="14.25" customHeight="1">
      <c r="A1087" s="96" t="s">
        <v>9</v>
      </c>
      <c r="B1087" s="13" t="s">
        <v>64</v>
      </c>
      <c r="C1087" s="78"/>
      <c r="D1087" s="78"/>
      <c r="E1087" s="78"/>
      <c r="F1087" s="78"/>
    </row>
    <row r="1088" ht="14.25" customHeight="1">
      <c r="A1088" s="96" t="s">
        <v>18</v>
      </c>
      <c r="B1088" s="13">
        <v>0.0</v>
      </c>
      <c r="C1088" s="78"/>
      <c r="D1088" s="78"/>
      <c r="E1088" s="78"/>
      <c r="F1088" s="78"/>
    </row>
    <row r="1089" ht="14.25" customHeight="1">
      <c r="A1089" s="96" t="s">
        <v>22</v>
      </c>
      <c r="B1089" s="13" t="s">
        <v>54</v>
      </c>
      <c r="C1089" s="78"/>
      <c r="D1089" s="78"/>
      <c r="E1089" s="78"/>
      <c r="F1089" s="78"/>
    </row>
    <row r="1090" ht="14.25" customHeight="1">
      <c r="A1090" s="96" t="s">
        <v>29</v>
      </c>
      <c r="B1090" s="39">
        <v>0.0278</v>
      </c>
      <c r="C1090" s="78"/>
      <c r="D1090" s="78"/>
      <c r="E1090" s="78"/>
      <c r="F1090" s="78"/>
    </row>
    <row r="1091" ht="14.25" customHeight="1">
      <c r="A1091" s="80"/>
      <c r="B1091" s="142"/>
      <c r="C1091" s="78"/>
      <c r="D1091" s="78"/>
      <c r="E1091" s="78"/>
      <c r="F1091" s="78"/>
    </row>
    <row r="1092" ht="14.25" customHeight="1">
      <c r="A1092" s="80"/>
      <c r="B1092" s="142"/>
      <c r="C1092" s="78"/>
      <c r="D1092" s="78"/>
      <c r="E1092" s="78"/>
      <c r="F1092" s="78"/>
    </row>
    <row r="1093" ht="14.25" customHeight="1">
      <c r="A1093" s="138" t="s">
        <v>248</v>
      </c>
      <c r="B1093" s="143"/>
      <c r="C1093" s="78"/>
      <c r="D1093" s="78"/>
      <c r="E1093" s="78"/>
      <c r="F1093" s="78"/>
    </row>
    <row r="1094" ht="14.25" customHeight="1">
      <c r="A1094" s="79" t="s">
        <v>42</v>
      </c>
      <c r="B1094" s="79" t="s">
        <v>44</v>
      </c>
      <c r="C1094" s="79" t="s">
        <v>104</v>
      </c>
      <c r="D1094" s="79" t="s">
        <v>46</v>
      </c>
      <c r="E1094" s="79" t="s">
        <v>47</v>
      </c>
      <c r="F1094" s="79" t="s">
        <v>43</v>
      </c>
    </row>
    <row r="1095" ht="14.25" customHeight="1">
      <c r="A1095" s="80" t="s">
        <v>196</v>
      </c>
      <c r="B1095" s="80" t="s">
        <v>249</v>
      </c>
      <c r="C1095" s="80" t="s">
        <v>250</v>
      </c>
      <c r="D1095" s="81">
        <v>14167.0</v>
      </c>
      <c r="E1095" s="81">
        <v>13631.0</v>
      </c>
      <c r="F1095" s="81">
        <v>7.0</v>
      </c>
    </row>
    <row r="1096" ht="14.25" customHeight="1">
      <c r="A1096" s="80" t="s">
        <v>199</v>
      </c>
      <c r="B1096" s="80" t="s">
        <v>251</v>
      </c>
      <c r="C1096" s="80" t="s">
        <v>252</v>
      </c>
      <c r="D1096" s="81">
        <v>3122.0</v>
      </c>
      <c r="E1096" s="81">
        <v>2755.0</v>
      </c>
      <c r="F1096" s="81">
        <v>10.0</v>
      </c>
    </row>
    <row r="1097" ht="14.25" customHeight="1">
      <c r="A1097" s="80" t="s">
        <v>202</v>
      </c>
      <c r="B1097" s="80" t="s">
        <v>253</v>
      </c>
      <c r="C1097" s="80" t="s">
        <v>254</v>
      </c>
      <c r="D1097" s="81">
        <v>3067.0</v>
      </c>
      <c r="E1097" s="81">
        <v>2722.0</v>
      </c>
      <c r="F1097" s="81">
        <v>8.0</v>
      </c>
    </row>
    <row r="1098" ht="14.25" customHeight="1">
      <c r="A1098" s="144"/>
      <c r="B1098" s="82" t="s">
        <v>65</v>
      </c>
      <c r="C1098" s="82" t="s">
        <v>255</v>
      </c>
      <c r="D1098" s="78"/>
      <c r="E1098" s="78"/>
      <c r="F1098" s="82">
        <v>25.0</v>
      </c>
    </row>
    <row r="1099" ht="14.25" customHeight="1">
      <c r="A1099" s="144"/>
      <c r="B1099" s="143"/>
      <c r="C1099" s="78"/>
      <c r="D1099" s="78"/>
      <c r="E1099" s="78"/>
      <c r="F1099" s="78"/>
    </row>
    <row r="1100" ht="14.25" customHeight="1">
      <c r="A1100" s="84" t="s">
        <v>119</v>
      </c>
      <c r="B1100" s="143"/>
      <c r="C1100" s="78"/>
      <c r="D1100" s="78"/>
      <c r="E1100" s="78"/>
      <c r="F1100" s="78"/>
    </row>
    <row r="1101" ht="14.25" customHeight="1">
      <c r="A1101" s="79" t="s">
        <v>67</v>
      </c>
      <c r="B1101" s="79" t="s">
        <v>68</v>
      </c>
      <c r="C1101" s="78"/>
      <c r="D1101" s="78"/>
      <c r="E1101" s="78"/>
      <c r="F1101" s="78"/>
    </row>
    <row r="1102" ht="14.25" customHeight="1">
      <c r="A1102" s="80" t="s">
        <v>122</v>
      </c>
      <c r="B1102" s="81">
        <v>9.0</v>
      </c>
      <c r="C1102" s="78"/>
      <c r="D1102" s="78"/>
      <c r="E1102" s="78"/>
      <c r="F1102" s="78"/>
    </row>
    <row r="1103" ht="14.25" customHeight="1">
      <c r="A1103" s="80" t="s">
        <v>69</v>
      </c>
      <c r="B1103" s="81">
        <v>6.0</v>
      </c>
      <c r="C1103" s="78"/>
      <c r="D1103" s="78"/>
      <c r="E1103" s="78"/>
      <c r="F1103" s="78"/>
    </row>
    <row r="1104" ht="14.25" customHeight="1">
      <c r="A1104" s="80" t="s">
        <v>121</v>
      </c>
      <c r="B1104" s="81">
        <v>6.0</v>
      </c>
      <c r="C1104" s="78"/>
      <c r="D1104" s="78"/>
      <c r="E1104" s="78"/>
      <c r="F1104" s="78"/>
    </row>
    <row r="1105" ht="14.25" customHeight="1">
      <c r="A1105" s="80" t="s">
        <v>120</v>
      </c>
      <c r="B1105" s="81">
        <v>5.0</v>
      </c>
      <c r="C1105" s="78"/>
      <c r="D1105" s="78"/>
      <c r="E1105" s="78"/>
      <c r="F1105" s="78"/>
    </row>
    <row r="1106" ht="14.25" customHeight="1">
      <c r="A1106" s="144"/>
      <c r="B1106" s="81">
        <v>26.0</v>
      </c>
      <c r="C1106" s="78"/>
      <c r="D1106" s="78"/>
      <c r="E1106" s="78"/>
      <c r="F1106" s="78"/>
    </row>
    <row r="1107" ht="14.25" customHeight="1">
      <c r="A1107" s="144"/>
      <c r="B1107" s="143"/>
      <c r="C1107" s="78"/>
      <c r="D1107" s="78"/>
      <c r="E1107" s="78"/>
      <c r="F1107" s="78"/>
    </row>
    <row r="1108" ht="14.25" customHeight="1">
      <c r="A1108" s="84" t="s">
        <v>124</v>
      </c>
      <c r="B1108" s="143"/>
      <c r="C1108" s="78"/>
      <c r="D1108" s="78"/>
      <c r="E1108" s="78"/>
      <c r="F1108" s="78"/>
    </row>
    <row r="1109" ht="14.25" customHeight="1">
      <c r="A1109" s="79" t="s">
        <v>67</v>
      </c>
      <c r="B1109" s="79" t="s">
        <v>73</v>
      </c>
      <c r="C1109" s="79" t="s">
        <v>74</v>
      </c>
      <c r="D1109" s="79" t="s">
        <v>75</v>
      </c>
      <c r="E1109" s="79" t="s">
        <v>68</v>
      </c>
      <c r="F1109" s="78"/>
    </row>
    <row r="1110" ht="14.25" customHeight="1">
      <c r="A1110" s="80" t="s">
        <v>121</v>
      </c>
      <c r="B1110" s="81">
        <v>4.0</v>
      </c>
      <c r="C1110" s="81">
        <v>0.0</v>
      </c>
      <c r="D1110" s="81">
        <v>0.0</v>
      </c>
      <c r="E1110" s="81">
        <v>4.0</v>
      </c>
      <c r="F1110" s="78"/>
    </row>
    <row r="1111" ht="14.25" customHeight="1">
      <c r="A1111" s="80" t="s">
        <v>122</v>
      </c>
      <c r="B1111" s="81">
        <v>4.0</v>
      </c>
      <c r="C1111" s="81">
        <v>0.0</v>
      </c>
      <c r="D1111" s="81">
        <v>0.0</v>
      </c>
      <c r="E1111" s="81">
        <v>4.0</v>
      </c>
      <c r="F1111" s="78"/>
    </row>
    <row r="1112" ht="14.25" customHeight="1">
      <c r="A1112" s="144"/>
      <c r="B1112" s="143"/>
      <c r="C1112" s="78"/>
      <c r="D1112" s="78"/>
      <c r="E1112" s="78"/>
      <c r="F1112" s="78"/>
    </row>
    <row r="1113" ht="14.25" customHeight="1">
      <c r="A1113" s="84" t="s">
        <v>77</v>
      </c>
      <c r="B1113" s="143"/>
      <c r="C1113" s="78"/>
      <c r="D1113" s="78"/>
      <c r="E1113" s="78"/>
      <c r="F1113" s="78"/>
    </row>
    <row r="1114" ht="14.25" customHeight="1">
      <c r="A1114" s="86" t="s">
        <v>79</v>
      </c>
      <c r="B1114" s="86" t="s">
        <v>5</v>
      </c>
      <c r="C1114" s="78"/>
      <c r="D1114" s="78"/>
      <c r="E1114" s="78"/>
      <c r="F1114" s="78"/>
    </row>
    <row r="1115" ht="14.25" customHeight="1">
      <c r="A1115" s="87" t="s">
        <v>126</v>
      </c>
      <c r="B1115" s="88">
        <v>5.0</v>
      </c>
      <c r="C1115" s="78"/>
      <c r="D1115" s="78"/>
      <c r="E1115" s="78"/>
      <c r="F1115" s="78"/>
    </row>
    <row r="1116" ht="14.25" customHeight="1">
      <c r="A1116" s="87" t="s">
        <v>206</v>
      </c>
      <c r="B1116" s="88">
        <v>3.0</v>
      </c>
      <c r="C1116" s="78"/>
      <c r="D1116" s="78"/>
      <c r="E1116" s="78"/>
      <c r="F1116" s="78"/>
    </row>
    <row r="1117" ht="14.25" customHeight="1">
      <c r="A1117" s="87" t="s">
        <v>210</v>
      </c>
      <c r="B1117" s="88">
        <v>1.0</v>
      </c>
      <c r="C1117" s="78"/>
      <c r="D1117" s="78"/>
      <c r="E1117" s="78"/>
      <c r="F1117" s="78"/>
    </row>
    <row r="1118" ht="14.25" customHeight="1">
      <c r="A1118" s="87" t="s">
        <v>246</v>
      </c>
      <c r="B1118" s="88">
        <v>1.0</v>
      </c>
      <c r="C1118" s="78"/>
      <c r="D1118" s="78"/>
      <c r="E1118" s="78"/>
      <c r="F1118" s="78"/>
    </row>
    <row r="1119" ht="14.25" customHeight="1">
      <c r="A1119" s="87" t="s">
        <v>256</v>
      </c>
      <c r="B1119" s="88">
        <v>1.0</v>
      </c>
      <c r="C1119" s="78"/>
      <c r="D1119" s="78"/>
      <c r="E1119" s="78"/>
      <c r="F1119" s="78"/>
    </row>
    <row r="1120" ht="14.25" customHeight="1">
      <c r="A1120" s="87" t="s">
        <v>207</v>
      </c>
      <c r="B1120" s="88">
        <v>1.0</v>
      </c>
      <c r="C1120" s="78"/>
      <c r="D1120" s="78"/>
      <c r="E1120" s="78"/>
      <c r="F1120" s="78"/>
    </row>
    <row r="1121" ht="14.25" customHeight="1">
      <c r="A1121" s="87" t="s">
        <v>192</v>
      </c>
      <c r="B1121" s="88">
        <v>1.0</v>
      </c>
      <c r="C1121" s="78"/>
      <c r="D1121" s="78"/>
      <c r="E1121" s="78"/>
      <c r="F1121" s="78"/>
    </row>
    <row r="1122" ht="14.25" customHeight="1">
      <c r="A1122" s="144"/>
      <c r="B1122" s="143"/>
      <c r="C1122" s="78"/>
      <c r="D1122" s="78"/>
      <c r="E1122" s="78"/>
      <c r="F1122" s="78"/>
    </row>
    <row r="1123" ht="14.25" customHeight="1">
      <c r="A1123" s="89" t="s">
        <v>127</v>
      </c>
      <c r="B1123" s="132" t="s">
        <v>54</v>
      </c>
      <c r="C1123" s="78"/>
      <c r="D1123" s="78"/>
      <c r="E1123" s="78"/>
      <c r="F1123" s="78"/>
    </row>
    <row r="1124" ht="14.25" customHeight="1">
      <c r="A1124" s="89" t="s">
        <v>129</v>
      </c>
      <c r="B1124" s="132" t="s">
        <v>54</v>
      </c>
      <c r="C1124" s="78"/>
      <c r="D1124" s="78"/>
      <c r="E1124" s="78"/>
      <c r="F1124" s="78"/>
    </row>
    <row r="1125" ht="14.25" customHeight="1">
      <c r="A1125" s="89" t="s">
        <v>131</v>
      </c>
      <c r="B1125" s="132" t="s">
        <v>54</v>
      </c>
      <c r="C1125" s="78"/>
      <c r="D1125" s="78"/>
      <c r="E1125" s="78"/>
      <c r="F1125" s="78"/>
    </row>
    <row r="1126" ht="14.25" customHeight="1">
      <c r="A1126" s="89" t="s">
        <v>132</v>
      </c>
      <c r="B1126" s="132" t="s">
        <v>54</v>
      </c>
      <c r="C1126" s="78"/>
      <c r="D1126" s="78"/>
      <c r="E1126" s="78"/>
      <c r="F1126" s="78"/>
    </row>
    <row r="1127" ht="14.25" customHeight="1">
      <c r="A1127" s="144"/>
      <c r="B1127" s="143"/>
      <c r="C1127" s="78"/>
      <c r="D1127" s="78"/>
      <c r="E1127" s="78"/>
      <c r="F1127" s="78"/>
    </row>
    <row r="1128" ht="14.25" customHeight="1">
      <c r="A1128" s="93" t="s">
        <v>7</v>
      </c>
      <c r="B1128" s="93" t="s">
        <v>54</v>
      </c>
      <c r="C1128" s="95">
        <v>1.0</v>
      </c>
      <c r="D1128" s="78"/>
      <c r="E1128" s="78"/>
      <c r="F1128" s="78"/>
    </row>
    <row r="1129" ht="14.25" customHeight="1">
      <c r="A1129" s="144"/>
      <c r="B1129" s="143"/>
      <c r="C1129" s="78"/>
      <c r="D1129" s="78"/>
      <c r="E1129" s="78"/>
      <c r="F1129" s="78"/>
    </row>
    <row r="1130" ht="14.25" customHeight="1">
      <c r="A1130" s="66" t="s">
        <v>1</v>
      </c>
      <c r="B1130" s="44">
        <v>46223.0</v>
      </c>
      <c r="C1130" s="78"/>
      <c r="D1130" s="78"/>
      <c r="E1130" s="78"/>
      <c r="F1130" s="78"/>
    </row>
    <row r="1131" ht="14.25" customHeight="1">
      <c r="A1131" s="96" t="s">
        <v>4</v>
      </c>
      <c r="B1131" s="13" t="s">
        <v>255</v>
      </c>
      <c r="C1131" s="78"/>
      <c r="D1131" s="78"/>
      <c r="E1131" s="78"/>
      <c r="F1131" s="78"/>
    </row>
    <row r="1132" ht="14.25" customHeight="1">
      <c r="A1132" s="96" t="s">
        <v>5</v>
      </c>
      <c r="B1132" s="13">
        <v>25.0</v>
      </c>
      <c r="C1132" s="78"/>
      <c r="D1132" s="78"/>
      <c r="E1132" s="78"/>
      <c r="F1132" s="78"/>
    </row>
    <row r="1133" ht="14.25" customHeight="1">
      <c r="A1133" s="96" t="s">
        <v>6</v>
      </c>
      <c r="B1133" s="13" t="s">
        <v>257</v>
      </c>
      <c r="C1133" s="78"/>
      <c r="D1133" s="78"/>
      <c r="E1133" s="78"/>
      <c r="F1133" s="78"/>
    </row>
    <row r="1134" ht="14.25" customHeight="1">
      <c r="A1134" s="96" t="s">
        <v>7</v>
      </c>
      <c r="B1134" s="13" t="s">
        <v>54</v>
      </c>
      <c r="C1134" s="78"/>
      <c r="D1134" s="78"/>
      <c r="E1134" s="78"/>
      <c r="F1134" s="78"/>
    </row>
    <row r="1135" ht="14.25" customHeight="1">
      <c r="A1135" s="96" t="s">
        <v>9</v>
      </c>
      <c r="B1135" s="13" t="s">
        <v>64</v>
      </c>
      <c r="C1135" s="78"/>
      <c r="D1135" s="78"/>
      <c r="E1135" s="78"/>
      <c r="F1135" s="78"/>
    </row>
    <row r="1136" ht="14.25" customHeight="1">
      <c r="A1136" s="96" t="s">
        <v>18</v>
      </c>
      <c r="B1136" s="13">
        <v>0.0</v>
      </c>
      <c r="C1136" s="78"/>
      <c r="D1136" s="78"/>
      <c r="E1136" s="78"/>
      <c r="F1136" s="78"/>
    </row>
    <row r="1137" ht="14.25" customHeight="1">
      <c r="A1137" s="96" t="s">
        <v>22</v>
      </c>
      <c r="B1137" s="13" t="s">
        <v>54</v>
      </c>
      <c r="C1137" s="78"/>
      <c r="D1137" s="78"/>
      <c r="E1137" s="78"/>
      <c r="F1137" s="78"/>
    </row>
    <row r="1138" ht="14.25" customHeight="1">
      <c r="A1138" s="96" t="s">
        <v>29</v>
      </c>
      <c r="B1138" s="39">
        <v>0.04</v>
      </c>
      <c r="C1138" s="78"/>
      <c r="D1138" s="78"/>
      <c r="E1138" s="78"/>
      <c r="F1138" s="78"/>
    </row>
    <row r="1139" ht="14.25" customHeight="1">
      <c r="A1139" s="80"/>
      <c r="B1139" s="142"/>
      <c r="C1139" s="78"/>
      <c r="D1139" s="78"/>
      <c r="E1139" s="78"/>
      <c r="F1139" s="78"/>
    </row>
    <row r="1140" ht="14.25" customHeight="1">
      <c r="A1140" s="80"/>
      <c r="B1140" s="142"/>
      <c r="C1140" s="78"/>
      <c r="D1140" s="78"/>
      <c r="E1140" s="78"/>
      <c r="F1140" s="78"/>
    </row>
    <row r="1141" ht="14.25" customHeight="1">
      <c r="A1141" s="77" t="s">
        <v>258</v>
      </c>
      <c r="B1141" s="143"/>
      <c r="C1141" s="78"/>
      <c r="D1141" s="78"/>
      <c r="E1141" s="78"/>
      <c r="F1141" s="78"/>
    </row>
    <row r="1142" ht="14.25" customHeight="1">
      <c r="A1142" s="79" t="s">
        <v>42</v>
      </c>
      <c r="B1142" s="79" t="s">
        <v>44</v>
      </c>
      <c r="C1142" s="79" t="s">
        <v>104</v>
      </c>
      <c r="D1142" s="79" t="s">
        <v>46</v>
      </c>
      <c r="E1142" s="79" t="s">
        <v>47</v>
      </c>
      <c r="F1142" s="79" t="s">
        <v>43</v>
      </c>
    </row>
    <row r="1143" ht="14.25" customHeight="1">
      <c r="A1143" s="80" t="s">
        <v>196</v>
      </c>
      <c r="B1143" s="80" t="s">
        <v>259</v>
      </c>
      <c r="C1143" s="80" t="s">
        <v>260</v>
      </c>
      <c r="D1143" s="81">
        <v>8899.0</v>
      </c>
      <c r="E1143" s="81">
        <v>8582.0</v>
      </c>
      <c r="F1143" s="81">
        <v>6.0</v>
      </c>
    </row>
    <row r="1144" ht="14.25" customHeight="1">
      <c r="A1144" s="80" t="s">
        <v>199</v>
      </c>
      <c r="B1144" s="80" t="s">
        <v>261</v>
      </c>
      <c r="C1144" s="80" t="s">
        <v>262</v>
      </c>
      <c r="D1144" s="81">
        <v>3658.0</v>
      </c>
      <c r="E1144" s="81">
        <v>3278.0</v>
      </c>
      <c r="F1144" s="81">
        <v>15.0</v>
      </c>
    </row>
    <row r="1145" ht="14.25" customHeight="1">
      <c r="A1145" s="80" t="s">
        <v>202</v>
      </c>
      <c r="B1145" s="80" t="s">
        <v>263</v>
      </c>
      <c r="C1145" s="80" t="s">
        <v>264</v>
      </c>
      <c r="D1145" s="81">
        <v>5219.0</v>
      </c>
      <c r="E1145" s="81">
        <v>4694.0</v>
      </c>
      <c r="F1145" s="81">
        <v>24.0</v>
      </c>
    </row>
    <row r="1146" ht="14.25" customHeight="1">
      <c r="A1146" s="144"/>
      <c r="B1146" s="83" t="s">
        <v>65</v>
      </c>
      <c r="C1146" s="83" t="s">
        <v>265</v>
      </c>
      <c r="D1146" s="78"/>
      <c r="E1146" s="78"/>
      <c r="F1146" s="83">
        <v>45.0</v>
      </c>
    </row>
    <row r="1147" ht="14.25" customHeight="1">
      <c r="A1147" s="144"/>
      <c r="B1147" s="143"/>
      <c r="C1147" s="78"/>
      <c r="D1147" s="78"/>
      <c r="E1147" s="78"/>
      <c r="F1147" s="78"/>
    </row>
    <row r="1148" ht="14.25" customHeight="1">
      <c r="A1148" s="84" t="s">
        <v>119</v>
      </c>
      <c r="B1148" s="143"/>
      <c r="C1148" s="78"/>
      <c r="D1148" s="78"/>
      <c r="E1148" s="78"/>
      <c r="F1148" s="78"/>
    </row>
    <row r="1149" ht="14.25" customHeight="1">
      <c r="A1149" s="145" t="s">
        <v>67</v>
      </c>
      <c r="B1149" s="145" t="s">
        <v>68</v>
      </c>
      <c r="C1149" s="78"/>
      <c r="D1149" s="78"/>
      <c r="E1149" s="78"/>
      <c r="F1149" s="78"/>
    </row>
    <row r="1150" ht="14.25" customHeight="1">
      <c r="A1150" s="87" t="s">
        <v>120</v>
      </c>
      <c r="B1150" s="88">
        <v>14.0</v>
      </c>
      <c r="C1150" s="78"/>
      <c r="D1150" s="78"/>
      <c r="E1150" s="78"/>
      <c r="F1150" s="78"/>
    </row>
    <row r="1151" ht="14.25" customHeight="1">
      <c r="A1151" s="87" t="s">
        <v>121</v>
      </c>
      <c r="B1151" s="88">
        <v>11.0</v>
      </c>
      <c r="C1151" s="78"/>
      <c r="D1151" s="78"/>
      <c r="E1151" s="78"/>
      <c r="F1151" s="78"/>
    </row>
    <row r="1152" ht="14.25" customHeight="1">
      <c r="A1152" s="87" t="s">
        <v>69</v>
      </c>
      <c r="B1152" s="88">
        <v>9.0</v>
      </c>
      <c r="C1152" s="78"/>
      <c r="D1152" s="78"/>
      <c r="E1152" s="78"/>
      <c r="F1152" s="78"/>
    </row>
    <row r="1153" ht="14.25" customHeight="1">
      <c r="A1153" s="87" t="s">
        <v>123</v>
      </c>
      <c r="B1153" s="88">
        <v>8.0</v>
      </c>
      <c r="C1153" s="78"/>
      <c r="D1153" s="78"/>
      <c r="E1153" s="78"/>
      <c r="F1153" s="78"/>
    </row>
    <row r="1154" ht="14.25" customHeight="1">
      <c r="A1154" s="87" t="s">
        <v>70</v>
      </c>
      <c r="B1154" s="88">
        <v>7.0</v>
      </c>
      <c r="C1154" s="78"/>
      <c r="D1154" s="78"/>
      <c r="E1154" s="78"/>
      <c r="F1154" s="78"/>
    </row>
    <row r="1155" ht="14.25" customHeight="1">
      <c r="A1155" s="87" t="s">
        <v>122</v>
      </c>
      <c r="B1155" s="88">
        <v>6.0</v>
      </c>
      <c r="C1155" s="78"/>
      <c r="D1155" s="78"/>
      <c r="E1155" s="78"/>
      <c r="F1155" s="78"/>
    </row>
    <row r="1156" ht="14.25" customHeight="1">
      <c r="A1156" s="144"/>
      <c r="B1156" s="83">
        <v>55.0</v>
      </c>
      <c r="C1156" s="78"/>
      <c r="D1156" s="78"/>
      <c r="E1156" s="78"/>
      <c r="F1156" s="78"/>
    </row>
    <row r="1157" ht="14.25" customHeight="1">
      <c r="A1157" s="144"/>
      <c r="B1157" s="143"/>
      <c r="C1157" s="78"/>
      <c r="D1157" s="78"/>
      <c r="E1157" s="78"/>
      <c r="F1157" s="78"/>
    </row>
    <row r="1158" ht="14.25" customHeight="1">
      <c r="A1158" s="84" t="s">
        <v>124</v>
      </c>
      <c r="B1158" s="143"/>
      <c r="C1158" s="78"/>
      <c r="D1158" s="78"/>
      <c r="E1158" s="78"/>
      <c r="F1158" s="78"/>
    </row>
    <row r="1159" ht="14.25" customHeight="1">
      <c r="A1159" s="145" t="s">
        <v>67</v>
      </c>
      <c r="B1159" s="145" t="s">
        <v>73</v>
      </c>
      <c r="C1159" s="145" t="s">
        <v>74</v>
      </c>
      <c r="D1159" s="145" t="s">
        <v>75</v>
      </c>
      <c r="E1159" s="145" t="s">
        <v>68</v>
      </c>
      <c r="F1159" s="78"/>
    </row>
    <row r="1160" ht="14.25" customHeight="1">
      <c r="A1160" s="87" t="s">
        <v>70</v>
      </c>
      <c r="B1160" s="88">
        <v>75.0</v>
      </c>
      <c r="C1160" s="88">
        <v>0.0</v>
      </c>
      <c r="D1160" s="88">
        <v>0.0</v>
      </c>
      <c r="E1160" s="88">
        <v>75.0</v>
      </c>
      <c r="F1160" s="78"/>
    </row>
    <row r="1161" ht="14.25" customHeight="1">
      <c r="A1161" s="87" t="s">
        <v>125</v>
      </c>
      <c r="B1161" s="88">
        <v>5.0</v>
      </c>
      <c r="C1161" s="88">
        <v>0.0</v>
      </c>
      <c r="D1161" s="88">
        <v>0.0</v>
      </c>
      <c r="E1161" s="88">
        <v>5.0</v>
      </c>
      <c r="F1161" s="78"/>
    </row>
    <row r="1162" ht="14.25" customHeight="1">
      <c r="A1162" s="87" t="s">
        <v>123</v>
      </c>
      <c r="B1162" s="88">
        <v>4.0</v>
      </c>
      <c r="C1162" s="88">
        <v>0.0</v>
      </c>
      <c r="D1162" s="88">
        <v>0.0</v>
      </c>
      <c r="E1162" s="88">
        <v>4.0</v>
      </c>
      <c r="F1162" s="78"/>
    </row>
    <row r="1163" ht="14.25" customHeight="1">
      <c r="A1163" s="87" t="s">
        <v>122</v>
      </c>
      <c r="B1163" s="88">
        <v>4.0</v>
      </c>
      <c r="C1163" s="88">
        <v>0.0</v>
      </c>
      <c r="D1163" s="88">
        <v>0.0</v>
      </c>
      <c r="E1163" s="88">
        <v>4.0</v>
      </c>
      <c r="F1163" s="78"/>
    </row>
    <row r="1164" ht="14.25" customHeight="1">
      <c r="A1164" s="87" t="s">
        <v>130</v>
      </c>
      <c r="B1164" s="88">
        <v>4.0</v>
      </c>
      <c r="C1164" s="88">
        <v>0.0</v>
      </c>
      <c r="D1164" s="88">
        <v>0.0</v>
      </c>
      <c r="E1164" s="88">
        <v>4.0</v>
      </c>
      <c r="F1164" s="78"/>
    </row>
    <row r="1165" ht="14.25" customHeight="1">
      <c r="A1165" s="87" t="s">
        <v>120</v>
      </c>
      <c r="B1165" s="88">
        <v>2.0</v>
      </c>
      <c r="C1165" s="88">
        <v>0.0</v>
      </c>
      <c r="D1165" s="88">
        <v>0.0</v>
      </c>
      <c r="E1165" s="88">
        <v>2.0</v>
      </c>
      <c r="F1165" s="78"/>
    </row>
    <row r="1166" ht="14.25" customHeight="1">
      <c r="A1166" s="144"/>
      <c r="B1166" s="143"/>
      <c r="C1166" s="78"/>
      <c r="D1166" s="78"/>
      <c r="E1166" s="78"/>
      <c r="F1166" s="78"/>
    </row>
    <row r="1167" ht="14.25" customHeight="1">
      <c r="A1167" s="84" t="s">
        <v>77</v>
      </c>
      <c r="B1167" s="143"/>
      <c r="C1167" s="78"/>
      <c r="D1167" s="78"/>
      <c r="E1167" s="78"/>
      <c r="F1167" s="78"/>
    </row>
    <row r="1168" ht="14.25" customHeight="1">
      <c r="A1168" s="86" t="s">
        <v>79</v>
      </c>
      <c r="B1168" s="86" t="s">
        <v>5</v>
      </c>
      <c r="C1168" s="78"/>
      <c r="D1168" s="78"/>
      <c r="E1168" s="78"/>
      <c r="F1168" s="78"/>
    </row>
    <row r="1169" ht="14.25" customHeight="1">
      <c r="A1169" s="87" t="s">
        <v>208</v>
      </c>
      <c r="B1169" s="88">
        <v>40.0</v>
      </c>
      <c r="C1169" s="78"/>
      <c r="D1169" s="78"/>
      <c r="E1169" s="78"/>
      <c r="F1169" s="78"/>
    </row>
    <row r="1170" ht="14.25" customHeight="1">
      <c r="A1170" s="87" t="s">
        <v>126</v>
      </c>
      <c r="B1170" s="88">
        <v>32.0</v>
      </c>
      <c r="C1170" s="78"/>
      <c r="D1170" s="78"/>
      <c r="E1170" s="78"/>
      <c r="F1170" s="78"/>
    </row>
    <row r="1171" ht="14.25" customHeight="1">
      <c r="A1171" s="87" t="s">
        <v>206</v>
      </c>
      <c r="B1171" s="88">
        <v>13.0</v>
      </c>
      <c r="C1171" s="78"/>
      <c r="D1171" s="78"/>
      <c r="E1171" s="78"/>
      <c r="F1171" s="78"/>
    </row>
    <row r="1172" ht="14.25" customHeight="1">
      <c r="A1172" s="87" t="s">
        <v>83</v>
      </c>
      <c r="B1172" s="88">
        <v>3.0</v>
      </c>
      <c r="C1172" s="78"/>
      <c r="D1172" s="78"/>
      <c r="E1172" s="78"/>
      <c r="F1172" s="78"/>
    </row>
    <row r="1173" ht="14.25" customHeight="1">
      <c r="A1173" s="87" t="s">
        <v>174</v>
      </c>
      <c r="B1173" s="88">
        <v>2.0</v>
      </c>
      <c r="C1173" s="78"/>
      <c r="D1173" s="78"/>
      <c r="E1173" s="78"/>
      <c r="F1173" s="78"/>
    </row>
    <row r="1174" ht="14.25" customHeight="1">
      <c r="A1174" s="87" t="s">
        <v>192</v>
      </c>
      <c r="B1174" s="88">
        <v>1.0</v>
      </c>
      <c r="C1174" s="78"/>
      <c r="D1174" s="78"/>
      <c r="E1174" s="78"/>
      <c r="F1174" s="78"/>
    </row>
    <row r="1175" ht="14.25" customHeight="1">
      <c r="A1175" s="144"/>
      <c r="B1175" s="143"/>
      <c r="C1175" s="78"/>
      <c r="D1175" s="78"/>
      <c r="E1175" s="78"/>
      <c r="F1175" s="78"/>
    </row>
    <row r="1176" ht="14.25" customHeight="1">
      <c r="A1176" s="89" t="s">
        <v>127</v>
      </c>
      <c r="B1176" s="132" t="s">
        <v>54</v>
      </c>
      <c r="C1176" s="78"/>
      <c r="D1176" s="78"/>
      <c r="E1176" s="78"/>
      <c r="F1176" s="78"/>
    </row>
    <row r="1177" ht="14.25" customHeight="1">
      <c r="A1177" s="89" t="s">
        <v>129</v>
      </c>
      <c r="B1177" s="132" t="s">
        <v>54</v>
      </c>
      <c r="C1177" s="78"/>
      <c r="D1177" s="78"/>
      <c r="E1177" s="78"/>
      <c r="F1177" s="78"/>
    </row>
    <row r="1178" ht="14.25" customHeight="1">
      <c r="A1178" s="89" t="s">
        <v>131</v>
      </c>
      <c r="B1178" s="132" t="s">
        <v>54</v>
      </c>
      <c r="C1178" s="78"/>
      <c r="D1178" s="78"/>
      <c r="E1178" s="78"/>
      <c r="F1178" s="78"/>
    </row>
    <row r="1179" ht="14.25" customHeight="1">
      <c r="A1179" s="89" t="s">
        <v>132</v>
      </c>
      <c r="B1179" s="132" t="s">
        <v>54</v>
      </c>
      <c r="C1179" s="78"/>
      <c r="D1179" s="78"/>
      <c r="E1179" s="78"/>
      <c r="F1179" s="78"/>
    </row>
    <row r="1180" ht="14.25" customHeight="1">
      <c r="A1180" s="144"/>
      <c r="B1180" s="143"/>
      <c r="C1180" s="78"/>
      <c r="D1180" s="78"/>
      <c r="E1180" s="78"/>
      <c r="F1180" s="78"/>
    </row>
    <row r="1181" ht="14.25" customHeight="1">
      <c r="A1181" s="93" t="s">
        <v>7</v>
      </c>
      <c r="B1181" s="93" t="s">
        <v>54</v>
      </c>
      <c r="C1181" s="95">
        <v>1.0</v>
      </c>
      <c r="D1181" s="78"/>
      <c r="E1181" s="78"/>
      <c r="F1181" s="78"/>
    </row>
    <row r="1182" ht="14.25" customHeight="1">
      <c r="A1182" s="144"/>
      <c r="B1182" s="143"/>
      <c r="C1182" s="78"/>
      <c r="D1182" s="78"/>
      <c r="E1182" s="78"/>
      <c r="F1182" s="78"/>
    </row>
    <row r="1183" ht="14.25" customHeight="1">
      <c r="A1183" s="66" t="s">
        <v>1</v>
      </c>
      <c r="B1183" s="44">
        <v>46224.0</v>
      </c>
      <c r="C1183" s="78"/>
      <c r="D1183" s="78"/>
      <c r="E1183" s="78"/>
      <c r="F1183" s="78"/>
    </row>
    <row r="1184" ht="14.25" customHeight="1">
      <c r="A1184" s="96" t="s">
        <v>4</v>
      </c>
      <c r="B1184" s="13" t="s">
        <v>265</v>
      </c>
      <c r="C1184" s="78"/>
      <c r="D1184" s="78"/>
      <c r="E1184" s="78"/>
      <c r="F1184" s="78"/>
    </row>
    <row r="1185" ht="14.25" customHeight="1">
      <c r="A1185" s="96" t="s">
        <v>5</v>
      </c>
      <c r="B1185" s="13">
        <v>45.0</v>
      </c>
      <c r="C1185" s="78"/>
      <c r="D1185" s="78"/>
      <c r="E1185" s="78"/>
      <c r="F1185" s="78"/>
    </row>
    <row r="1186" ht="14.25" customHeight="1">
      <c r="A1186" s="96" t="s">
        <v>6</v>
      </c>
      <c r="B1186" s="13" t="s">
        <v>266</v>
      </c>
      <c r="C1186" s="78"/>
      <c r="D1186" s="78"/>
      <c r="E1186" s="78"/>
      <c r="F1186" s="78"/>
    </row>
    <row r="1187" ht="14.25" customHeight="1">
      <c r="A1187" s="96" t="s">
        <v>7</v>
      </c>
      <c r="B1187" s="13" t="s">
        <v>54</v>
      </c>
      <c r="C1187" s="78"/>
      <c r="D1187" s="78"/>
      <c r="E1187" s="78"/>
      <c r="F1187" s="78"/>
    </row>
    <row r="1188" ht="14.25" customHeight="1">
      <c r="A1188" s="96" t="s">
        <v>9</v>
      </c>
      <c r="B1188" s="13" t="s">
        <v>64</v>
      </c>
      <c r="C1188" s="78"/>
      <c r="D1188" s="78"/>
      <c r="E1188" s="78"/>
      <c r="F1188" s="78"/>
    </row>
    <row r="1189" ht="14.25" customHeight="1">
      <c r="A1189" s="96" t="s">
        <v>18</v>
      </c>
      <c r="B1189" s="13">
        <v>0.0</v>
      </c>
      <c r="C1189" s="78"/>
      <c r="D1189" s="78"/>
      <c r="E1189" s="78"/>
      <c r="F1189" s="78"/>
    </row>
    <row r="1190" ht="14.25" customHeight="1">
      <c r="A1190" s="96" t="s">
        <v>22</v>
      </c>
      <c r="B1190" s="13" t="s">
        <v>54</v>
      </c>
      <c r="C1190" s="78"/>
      <c r="D1190" s="78"/>
      <c r="E1190" s="78"/>
      <c r="F1190" s="78"/>
    </row>
    <row r="1191" ht="14.25" customHeight="1">
      <c r="A1191" s="96" t="s">
        <v>29</v>
      </c>
      <c r="B1191" s="39">
        <v>0.0222</v>
      </c>
      <c r="C1191" s="78"/>
      <c r="D1191" s="78"/>
      <c r="E1191" s="78"/>
      <c r="F1191" s="78"/>
    </row>
    <row r="1192" ht="14.25" customHeight="1">
      <c r="A1192" s="80"/>
      <c r="B1192" s="142"/>
      <c r="C1192" s="78"/>
      <c r="D1192" s="78"/>
      <c r="E1192" s="78"/>
      <c r="F1192" s="78"/>
    </row>
    <row r="1193" ht="14.25" customHeight="1">
      <c r="A1193" s="80"/>
      <c r="B1193" s="142"/>
      <c r="C1193" s="78"/>
      <c r="D1193" s="78"/>
      <c r="E1193" s="78"/>
      <c r="F1193" s="78"/>
    </row>
    <row r="1194" ht="14.25" customHeight="1">
      <c r="A1194" s="138" t="s">
        <v>267</v>
      </c>
      <c r="B1194" s="143"/>
      <c r="C1194" s="78"/>
      <c r="D1194" s="78"/>
      <c r="E1194" s="78"/>
      <c r="F1194" s="78"/>
    </row>
    <row r="1195" ht="14.25" customHeight="1">
      <c r="A1195" s="79" t="s">
        <v>42</v>
      </c>
      <c r="B1195" s="79" t="s">
        <v>44</v>
      </c>
      <c r="C1195" s="79" t="s">
        <v>104</v>
      </c>
      <c r="D1195" s="79" t="s">
        <v>46</v>
      </c>
      <c r="E1195" s="79" t="s">
        <v>47</v>
      </c>
      <c r="F1195" s="79" t="s">
        <v>43</v>
      </c>
    </row>
    <row r="1196" ht="14.25" customHeight="1">
      <c r="A1196" s="80" t="s">
        <v>196</v>
      </c>
      <c r="B1196" s="80" t="s">
        <v>268</v>
      </c>
      <c r="C1196" s="80" t="s">
        <v>268</v>
      </c>
      <c r="D1196" s="81">
        <v>2391.0</v>
      </c>
      <c r="E1196" s="81">
        <v>1941.0</v>
      </c>
      <c r="F1196" s="81">
        <v>1.0</v>
      </c>
    </row>
    <row r="1197" ht="14.25" customHeight="1">
      <c r="A1197" s="80" t="s">
        <v>199</v>
      </c>
      <c r="B1197" s="80" t="s">
        <v>243</v>
      </c>
      <c r="C1197" s="80" t="s">
        <v>269</v>
      </c>
      <c r="D1197" s="81">
        <v>4237.0</v>
      </c>
      <c r="E1197" s="81">
        <v>3681.0</v>
      </c>
      <c r="F1197" s="81">
        <v>24.0</v>
      </c>
    </row>
    <row r="1198" ht="14.25" customHeight="1">
      <c r="A1198" s="80" t="s">
        <v>202</v>
      </c>
      <c r="B1198" s="80" t="s">
        <v>270</v>
      </c>
      <c r="C1198" s="80" t="s">
        <v>271</v>
      </c>
      <c r="D1198" s="81">
        <v>6914.0</v>
      </c>
      <c r="E1198" s="81">
        <v>6149.0</v>
      </c>
      <c r="F1198" s="81">
        <v>19.0</v>
      </c>
    </row>
    <row r="1199" ht="14.25" customHeight="1">
      <c r="A1199" s="144"/>
      <c r="B1199" s="79" t="s">
        <v>65</v>
      </c>
      <c r="C1199" s="79" t="s">
        <v>272</v>
      </c>
      <c r="D1199" s="78"/>
      <c r="E1199" s="78"/>
      <c r="F1199" s="83">
        <v>44.0</v>
      </c>
    </row>
    <row r="1200" ht="14.25" customHeight="1">
      <c r="A1200" s="144"/>
      <c r="B1200" s="143"/>
      <c r="C1200" s="78"/>
      <c r="D1200" s="78"/>
      <c r="E1200" s="78"/>
      <c r="F1200" s="78"/>
    </row>
    <row r="1201" ht="14.25" customHeight="1">
      <c r="A1201" s="79" t="s">
        <v>273</v>
      </c>
      <c r="B1201" s="143"/>
      <c r="C1201" s="78"/>
      <c r="D1201" s="78"/>
      <c r="E1201" s="78"/>
      <c r="F1201" s="78"/>
    </row>
    <row r="1202" ht="14.25" customHeight="1">
      <c r="A1202" s="80" t="s">
        <v>274</v>
      </c>
      <c r="B1202" s="143"/>
      <c r="C1202" s="78"/>
      <c r="D1202" s="78"/>
      <c r="E1202" s="78"/>
      <c r="F1202" s="78"/>
    </row>
    <row r="1203" ht="14.25" customHeight="1">
      <c r="A1203" s="80" t="s">
        <v>274</v>
      </c>
      <c r="B1203" s="143"/>
      <c r="C1203" s="78"/>
      <c r="D1203" s="78"/>
      <c r="E1203" s="78"/>
      <c r="F1203" s="78"/>
    </row>
    <row r="1204" ht="14.25" customHeight="1">
      <c r="A1204" s="80" t="s">
        <v>274</v>
      </c>
      <c r="B1204" s="143"/>
      <c r="C1204" s="78"/>
      <c r="D1204" s="78"/>
      <c r="E1204" s="78"/>
      <c r="F1204" s="78"/>
    </row>
    <row r="1205" ht="14.25" customHeight="1">
      <c r="A1205" s="80" t="s">
        <v>275</v>
      </c>
      <c r="B1205" s="143"/>
      <c r="C1205" s="78"/>
      <c r="D1205" s="78"/>
      <c r="E1205" s="78"/>
      <c r="F1205" s="78"/>
    </row>
    <row r="1206" ht="14.25" customHeight="1">
      <c r="A1206" s="80" t="s">
        <v>276</v>
      </c>
      <c r="B1206" s="143"/>
      <c r="C1206" s="78"/>
      <c r="D1206" s="78"/>
      <c r="E1206" s="78"/>
      <c r="F1206" s="78"/>
    </row>
    <row r="1207" ht="14.25" customHeight="1">
      <c r="A1207" s="80" t="s">
        <v>276</v>
      </c>
      <c r="B1207" s="143"/>
      <c r="C1207" s="78"/>
      <c r="D1207" s="78"/>
      <c r="E1207" s="78"/>
      <c r="F1207" s="78"/>
    </row>
    <row r="1208" ht="14.25" customHeight="1">
      <c r="A1208" s="80" t="s">
        <v>105</v>
      </c>
      <c r="B1208" s="143"/>
      <c r="C1208" s="78"/>
      <c r="D1208" s="78"/>
      <c r="E1208" s="78"/>
      <c r="F1208" s="78"/>
    </row>
    <row r="1209" ht="14.25" customHeight="1">
      <c r="A1209" s="80" t="s">
        <v>277</v>
      </c>
      <c r="B1209" s="143"/>
      <c r="C1209" s="78"/>
      <c r="D1209" s="78"/>
      <c r="E1209" s="78"/>
      <c r="F1209" s="78"/>
    </row>
    <row r="1210" ht="14.25" customHeight="1">
      <c r="A1210" s="80" t="s">
        <v>277</v>
      </c>
      <c r="B1210" s="143"/>
      <c r="C1210" s="78"/>
      <c r="D1210" s="78"/>
      <c r="E1210" s="78"/>
      <c r="F1210" s="78"/>
    </row>
    <row r="1211" ht="14.25" customHeight="1">
      <c r="A1211" s="80" t="s">
        <v>278</v>
      </c>
      <c r="B1211" s="143"/>
      <c r="C1211" s="78"/>
      <c r="D1211" s="78"/>
      <c r="E1211" s="78"/>
      <c r="F1211" s="78"/>
    </row>
    <row r="1212" ht="14.25" customHeight="1">
      <c r="A1212" s="80" t="s">
        <v>275</v>
      </c>
      <c r="B1212" s="143"/>
      <c r="C1212" s="78"/>
      <c r="D1212" s="78"/>
      <c r="E1212" s="78"/>
      <c r="F1212" s="78"/>
    </row>
    <row r="1213" ht="14.25" customHeight="1">
      <c r="A1213" s="80" t="s">
        <v>279</v>
      </c>
      <c r="B1213" s="143"/>
      <c r="C1213" s="78"/>
      <c r="D1213" s="78"/>
      <c r="E1213" s="78"/>
      <c r="F1213" s="78"/>
    </row>
    <row r="1214" ht="14.25" customHeight="1">
      <c r="A1214" s="144"/>
      <c r="B1214" s="143"/>
      <c r="C1214" s="78"/>
      <c r="D1214" s="78"/>
      <c r="E1214" s="78"/>
      <c r="F1214" s="78"/>
    </row>
    <row r="1215" ht="14.25" customHeight="1">
      <c r="A1215" s="84" t="s">
        <v>119</v>
      </c>
      <c r="B1215" s="143"/>
      <c r="C1215" s="78"/>
      <c r="D1215" s="78"/>
      <c r="E1215" s="78"/>
      <c r="F1215" s="78"/>
    </row>
    <row r="1216" ht="14.25" customHeight="1">
      <c r="A1216" s="79" t="s">
        <v>67</v>
      </c>
      <c r="B1216" s="79" t="s">
        <v>68</v>
      </c>
      <c r="C1216" s="78"/>
      <c r="D1216" s="78"/>
      <c r="E1216" s="78"/>
      <c r="F1216" s="78"/>
    </row>
    <row r="1217" ht="14.25" customHeight="1">
      <c r="A1217" s="80" t="s">
        <v>70</v>
      </c>
      <c r="B1217" s="81">
        <v>14.0</v>
      </c>
      <c r="C1217" s="78"/>
      <c r="D1217" s="78"/>
      <c r="E1217" s="78"/>
      <c r="F1217" s="78"/>
    </row>
    <row r="1218" ht="14.25" customHeight="1">
      <c r="A1218" s="80" t="s">
        <v>123</v>
      </c>
      <c r="B1218" s="81">
        <v>11.0</v>
      </c>
      <c r="C1218" s="78"/>
      <c r="D1218" s="78"/>
      <c r="E1218" s="78"/>
      <c r="F1218" s="78"/>
    </row>
    <row r="1219" ht="14.25" customHeight="1">
      <c r="A1219" s="80" t="s">
        <v>69</v>
      </c>
      <c r="B1219" s="81">
        <v>9.0</v>
      </c>
      <c r="C1219" s="78"/>
      <c r="D1219" s="78"/>
      <c r="E1219" s="78"/>
      <c r="F1219" s="78"/>
    </row>
    <row r="1220" ht="14.25" customHeight="1">
      <c r="A1220" s="80" t="s">
        <v>120</v>
      </c>
      <c r="B1220" s="81">
        <v>9.0</v>
      </c>
      <c r="C1220" s="78"/>
      <c r="D1220" s="78"/>
      <c r="E1220" s="78"/>
      <c r="F1220" s="78"/>
    </row>
    <row r="1221" ht="14.25" customHeight="1">
      <c r="A1221" s="80" t="s">
        <v>122</v>
      </c>
      <c r="B1221" s="81">
        <v>9.0</v>
      </c>
      <c r="C1221" s="78"/>
      <c r="D1221" s="78"/>
      <c r="E1221" s="78"/>
      <c r="F1221" s="78"/>
    </row>
    <row r="1222" ht="14.25" customHeight="1">
      <c r="A1222" s="80" t="s">
        <v>121</v>
      </c>
      <c r="B1222" s="81">
        <v>7.0</v>
      </c>
      <c r="C1222" s="78"/>
      <c r="D1222" s="78"/>
      <c r="E1222" s="78"/>
      <c r="F1222" s="78"/>
    </row>
    <row r="1223" ht="14.25" customHeight="1">
      <c r="A1223" s="144"/>
      <c r="B1223" s="83">
        <v>59.0</v>
      </c>
      <c r="C1223" s="78"/>
      <c r="D1223" s="78"/>
      <c r="E1223" s="78"/>
      <c r="F1223" s="78"/>
    </row>
    <row r="1224" ht="14.25" customHeight="1">
      <c r="A1224" s="144"/>
      <c r="B1224" s="143"/>
      <c r="C1224" s="78"/>
      <c r="D1224" s="78"/>
      <c r="E1224" s="78"/>
      <c r="F1224" s="78"/>
    </row>
    <row r="1225" ht="14.25" customHeight="1">
      <c r="A1225" s="84" t="s">
        <v>124</v>
      </c>
      <c r="B1225" s="143"/>
      <c r="C1225" s="78"/>
      <c r="D1225" s="78"/>
      <c r="E1225" s="78"/>
      <c r="F1225" s="78"/>
    </row>
    <row r="1226" ht="14.25" customHeight="1">
      <c r="A1226" s="79" t="s">
        <v>67</v>
      </c>
      <c r="B1226" s="79" t="s">
        <v>73</v>
      </c>
      <c r="C1226" s="79" t="s">
        <v>74</v>
      </c>
      <c r="D1226" s="79" t="s">
        <v>75</v>
      </c>
      <c r="E1226" s="79" t="s">
        <v>68</v>
      </c>
      <c r="F1226" s="78"/>
    </row>
    <row r="1227" ht="14.25" customHeight="1">
      <c r="A1227" s="80" t="s">
        <v>70</v>
      </c>
      <c r="B1227" s="81">
        <v>86.0</v>
      </c>
      <c r="C1227" s="81">
        <v>0.0</v>
      </c>
      <c r="D1227" s="81">
        <v>5.0</v>
      </c>
      <c r="E1227" s="81">
        <v>91.0</v>
      </c>
      <c r="F1227" s="78"/>
    </row>
    <row r="1228" ht="14.25" customHeight="1">
      <c r="A1228" s="80" t="s">
        <v>123</v>
      </c>
      <c r="B1228" s="81">
        <v>12.0</v>
      </c>
      <c r="C1228" s="81">
        <v>0.0</v>
      </c>
      <c r="D1228" s="81">
        <v>0.0</v>
      </c>
      <c r="E1228" s="81">
        <v>12.0</v>
      </c>
      <c r="F1228" s="78"/>
    </row>
    <row r="1229" ht="14.25" customHeight="1">
      <c r="A1229" s="80" t="s">
        <v>120</v>
      </c>
      <c r="B1229" s="81">
        <v>12.0</v>
      </c>
      <c r="C1229" s="81">
        <v>0.0</v>
      </c>
      <c r="D1229" s="81">
        <v>0.0</v>
      </c>
      <c r="E1229" s="81">
        <v>12.0</v>
      </c>
      <c r="F1229" s="78"/>
    </row>
    <row r="1230" ht="14.25" customHeight="1">
      <c r="A1230" s="80" t="s">
        <v>125</v>
      </c>
      <c r="B1230" s="81">
        <v>4.0</v>
      </c>
      <c r="C1230" s="81">
        <v>0.0</v>
      </c>
      <c r="D1230" s="81">
        <v>0.0</v>
      </c>
      <c r="E1230" s="81">
        <v>4.0</v>
      </c>
      <c r="F1230" s="78"/>
    </row>
    <row r="1231" ht="14.25" customHeight="1">
      <c r="A1231" s="80" t="s">
        <v>130</v>
      </c>
      <c r="B1231" s="81">
        <v>3.0</v>
      </c>
      <c r="C1231" s="81">
        <v>0.0</v>
      </c>
      <c r="D1231" s="81">
        <v>0.0</v>
      </c>
      <c r="E1231" s="81">
        <v>3.0</v>
      </c>
      <c r="F1231" s="78"/>
    </row>
    <row r="1232" ht="14.25" customHeight="1">
      <c r="A1232" s="80" t="s">
        <v>122</v>
      </c>
      <c r="B1232" s="81">
        <v>2.0</v>
      </c>
      <c r="C1232" s="81">
        <v>0.0</v>
      </c>
      <c r="D1232" s="81">
        <v>0.0</v>
      </c>
      <c r="E1232" s="81">
        <v>2.0</v>
      </c>
      <c r="F1232" s="78"/>
    </row>
    <row r="1233" ht="14.25" customHeight="1">
      <c r="A1233" s="144"/>
      <c r="B1233" s="143"/>
      <c r="C1233" s="78"/>
      <c r="D1233" s="78"/>
      <c r="E1233" s="78"/>
      <c r="F1233" s="78"/>
    </row>
    <row r="1234" ht="14.25" customHeight="1">
      <c r="A1234" s="84" t="s">
        <v>77</v>
      </c>
      <c r="B1234" s="143"/>
      <c r="C1234" s="78"/>
      <c r="D1234" s="78"/>
      <c r="E1234" s="78"/>
      <c r="F1234" s="78"/>
    </row>
    <row r="1235" ht="14.25" customHeight="1">
      <c r="A1235" s="86" t="s">
        <v>79</v>
      </c>
      <c r="B1235" s="86" t="s">
        <v>5</v>
      </c>
      <c r="C1235" s="78"/>
      <c r="D1235" s="78"/>
      <c r="E1235" s="78"/>
      <c r="F1235" s="78"/>
    </row>
    <row r="1236" ht="14.25" customHeight="1">
      <c r="A1236" s="87" t="s">
        <v>208</v>
      </c>
      <c r="B1236" s="88">
        <v>21.0</v>
      </c>
      <c r="C1236" s="78"/>
      <c r="D1236" s="78"/>
      <c r="E1236" s="78"/>
      <c r="F1236" s="78"/>
    </row>
    <row r="1237" ht="14.25" customHeight="1">
      <c r="A1237" s="87" t="s">
        <v>126</v>
      </c>
      <c r="B1237" s="88">
        <v>14.0</v>
      </c>
      <c r="C1237" s="78"/>
      <c r="D1237" s="78"/>
      <c r="E1237" s="78"/>
      <c r="F1237" s="78"/>
    </row>
    <row r="1238" ht="14.25" customHeight="1">
      <c r="A1238" s="87" t="s">
        <v>83</v>
      </c>
      <c r="B1238" s="88">
        <v>6.0</v>
      </c>
      <c r="C1238" s="78"/>
      <c r="D1238" s="78"/>
      <c r="E1238" s="78"/>
      <c r="F1238" s="78"/>
    </row>
    <row r="1239" ht="14.25" customHeight="1">
      <c r="A1239" s="87" t="s">
        <v>206</v>
      </c>
      <c r="B1239" s="88">
        <v>3.0</v>
      </c>
      <c r="C1239" s="78"/>
      <c r="D1239" s="78"/>
      <c r="E1239" s="78"/>
      <c r="F1239" s="78"/>
    </row>
    <row r="1240" ht="14.25" customHeight="1">
      <c r="A1240" s="87" t="s">
        <v>280</v>
      </c>
      <c r="B1240" s="88">
        <v>2.0</v>
      </c>
      <c r="C1240" s="78"/>
      <c r="D1240" s="78"/>
      <c r="E1240" s="78"/>
      <c r="F1240" s="78"/>
    </row>
    <row r="1241" ht="14.25" customHeight="1">
      <c r="A1241" s="87" t="s">
        <v>133</v>
      </c>
      <c r="B1241" s="88">
        <v>2.0</v>
      </c>
      <c r="C1241" s="78"/>
      <c r="D1241" s="78"/>
      <c r="E1241" s="78"/>
      <c r="F1241" s="78"/>
    </row>
    <row r="1242" ht="14.25" customHeight="1">
      <c r="A1242" s="144"/>
      <c r="B1242" s="143"/>
      <c r="C1242" s="78"/>
      <c r="D1242" s="78"/>
      <c r="E1242" s="78"/>
      <c r="F1242" s="78"/>
    </row>
    <row r="1243" ht="14.25" customHeight="1">
      <c r="A1243" s="89" t="s">
        <v>127</v>
      </c>
      <c r="B1243" s="132" t="s">
        <v>281</v>
      </c>
      <c r="C1243" s="78"/>
      <c r="D1243" s="78"/>
      <c r="E1243" s="78"/>
      <c r="F1243" s="78"/>
    </row>
    <row r="1244" ht="14.25" customHeight="1">
      <c r="A1244" s="89" t="s">
        <v>129</v>
      </c>
      <c r="B1244" s="132" t="s">
        <v>54</v>
      </c>
      <c r="C1244" s="78"/>
      <c r="D1244" s="78"/>
      <c r="E1244" s="78"/>
      <c r="F1244" s="78"/>
    </row>
    <row r="1245" ht="14.25" customHeight="1">
      <c r="A1245" s="89" t="s">
        <v>131</v>
      </c>
      <c r="B1245" s="132" t="s">
        <v>54</v>
      </c>
      <c r="C1245" s="78"/>
      <c r="D1245" s="78"/>
      <c r="E1245" s="78"/>
      <c r="F1245" s="78"/>
    </row>
    <row r="1246" ht="14.25" customHeight="1">
      <c r="A1246" s="89" t="s">
        <v>132</v>
      </c>
      <c r="B1246" s="132" t="s">
        <v>54</v>
      </c>
      <c r="C1246" s="78"/>
      <c r="D1246" s="78"/>
      <c r="E1246" s="78"/>
      <c r="F1246" s="78"/>
    </row>
    <row r="1247" ht="14.25" customHeight="1">
      <c r="A1247" s="144"/>
      <c r="B1247" s="143"/>
      <c r="C1247" s="78"/>
      <c r="D1247" s="78"/>
      <c r="E1247" s="78"/>
      <c r="F1247" s="78"/>
    </row>
    <row r="1248" ht="14.25" customHeight="1">
      <c r="A1248" s="93" t="s">
        <v>7</v>
      </c>
      <c r="B1248" s="93" t="s">
        <v>281</v>
      </c>
      <c r="C1248" s="95">
        <v>1.0</v>
      </c>
      <c r="D1248" s="78"/>
      <c r="E1248" s="78"/>
      <c r="F1248" s="78"/>
    </row>
    <row r="1249" ht="14.25" customHeight="1">
      <c r="A1249" s="144"/>
      <c r="B1249" s="143"/>
      <c r="C1249" s="78"/>
      <c r="D1249" s="78"/>
      <c r="E1249" s="78"/>
      <c r="F1249" s="78"/>
    </row>
    <row r="1250" ht="14.25" customHeight="1">
      <c r="A1250" s="66" t="s">
        <v>1</v>
      </c>
      <c r="B1250" s="44">
        <v>46225.0</v>
      </c>
      <c r="C1250" s="78"/>
      <c r="D1250" s="78"/>
      <c r="E1250" s="78"/>
      <c r="F1250" s="78"/>
    </row>
    <row r="1251" ht="14.25" customHeight="1">
      <c r="A1251" s="96" t="s">
        <v>4</v>
      </c>
      <c r="B1251" s="13" t="s">
        <v>272</v>
      </c>
      <c r="C1251" s="78"/>
      <c r="D1251" s="78"/>
      <c r="E1251" s="78"/>
      <c r="F1251" s="78"/>
    </row>
    <row r="1252" ht="14.25" customHeight="1">
      <c r="A1252" s="96" t="s">
        <v>5</v>
      </c>
      <c r="B1252" s="13">
        <v>44.0</v>
      </c>
      <c r="C1252" s="78"/>
      <c r="D1252" s="78"/>
      <c r="E1252" s="78"/>
      <c r="F1252" s="78"/>
    </row>
    <row r="1253" ht="14.25" customHeight="1">
      <c r="A1253" s="96" t="s">
        <v>6</v>
      </c>
      <c r="B1253" s="13" t="s">
        <v>282</v>
      </c>
      <c r="C1253" s="78"/>
      <c r="D1253" s="78"/>
      <c r="E1253" s="78"/>
      <c r="F1253" s="78"/>
    </row>
    <row r="1254" ht="14.25" customHeight="1">
      <c r="A1254" s="96" t="s">
        <v>7</v>
      </c>
      <c r="B1254" s="13" t="s">
        <v>281</v>
      </c>
      <c r="C1254" s="78"/>
      <c r="D1254" s="78"/>
      <c r="E1254" s="78"/>
      <c r="F1254" s="78"/>
    </row>
    <row r="1255" ht="14.25" customHeight="1">
      <c r="A1255" s="96" t="s">
        <v>9</v>
      </c>
      <c r="B1255" s="39">
        <v>0.17</v>
      </c>
      <c r="C1255" s="78"/>
      <c r="D1255" s="78"/>
      <c r="E1255" s="78"/>
      <c r="F1255" s="78"/>
    </row>
    <row r="1256" ht="14.25" customHeight="1">
      <c r="A1256" s="96" t="s">
        <v>18</v>
      </c>
      <c r="B1256" s="13">
        <v>5.81</v>
      </c>
      <c r="C1256" s="78"/>
      <c r="D1256" s="78"/>
      <c r="E1256" s="78"/>
      <c r="F1256" s="78"/>
    </row>
    <row r="1257" ht="14.25" customHeight="1">
      <c r="A1257" s="96" t="s">
        <v>22</v>
      </c>
      <c r="B1257" s="13" t="s">
        <v>281</v>
      </c>
      <c r="C1257" s="78"/>
      <c r="D1257" s="78"/>
      <c r="E1257" s="78"/>
      <c r="F1257" s="78"/>
    </row>
    <row r="1258" ht="14.25" customHeight="1">
      <c r="A1258" s="96" t="s">
        <v>29</v>
      </c>
      <c r="B1258" s="39">
        <v>0.0227</v>
      </c>
      <c r="C1258" s="78"/>
      <c r="D1258" s="78"/>
      <c r="E1258" s="78"/>
      <c r="F1258" s="78"/>
    </row>
    <row r="1259" ht="14.25" customHeight="1">
      <c r="A1259" s="80"/>
      <c r="B1259" s="142"/>
      <c r="C1259" s="78"/>
      <c r="D1259" s="78"/>
      <c r="E1259" s="78"/>
      <c r="F1259" s="78"/>
    </row>
    <row r="1260" ht="14.25" customHeight="1">
      <c r="A1260" s="80"/>
      <c r="B1260" s="142"/>
      <c r="C1260" s="78"/>
      <c r="D1260" s="78"/>
      <c r="E1260" s="78"/>
      <c r="F1260" s="78"/>
    </row>
    <row r="1261" ht="14.25" customHeight="1">
      <c r="A1261" s="77" t="s">
        <v>283</v>
      </c>
      <c r="B1261" s="146"/>
      <c r="C1261" s="76"/>
      <c r="D1261" s="76"/>
      <c r="E1261" s="76"/>
      <c r="F1261" s="76"/>
    </row>
    <row r="1262" ht="14.25" customHeight="1">
      <c r="A1262" s="147" t="s">
        <v>42</v>
      </c>
      <c r="B1262" s="147" t="s">
        <v>44</v>
      </c>
      <c r="C1262" s="147" t="s">
        <v>104</v>
      </c>
      <c r="D1262" s="147" t="s">
        <v>46</v>
      </c>
      <c r="E1262" s="147" t="s">
        <v>47</v>
      </c>
      <c r="F1262" s="147" t="s">
        <v>43</v>
      </c>
    </row>
    <row r="1263" ht="14.25" customHeight="1">
      <c r="A1263" s="148" t="s">
        <v>196</v>
      </c>
      <c r="B1263" s="148" t="s">
        <v>284</v>
      </c>
      <c r="C1263" s="148" t="s">
        <v>285</v>
      </c>
      <c r="D1263" s="149">
        <v>1226.0</v>
      </c>
      <c r="E1263" s="149">
        <v>1053.0</v>
      </c>
      <c r="F1263" s="149">
        <v>2.0</v>
      </c>
    </row>
    <row r="1264" ht="14.25" customHeight="1">
      <c r="A1264" s="148" t="s">
        <v>199</v>
      </c>
      <c r="B1264" s="148" t="s">
        <v>286</v>
      </c>
      <c r="C1264" s="148" t="s">
        <v>287</v>
      </c>
      <c r="D1264" s="149">
        <v>2993.0</v>
      </c>
      <c r="E1264" s="149">
        <v>2634.0</v>
      </c>
      <c r="F1264" s="149">
        <v>11.0</v>
      </c>
    </row>
    <row r="1265" ht="14.25" customHeight="1">
      <c r="A1265" s="148" t="s">
        <v>202</v>
      </c>
      <c r="B1265" s="148" t="s">
        <v>288</v>
      </c>
      <c r="C1265" s="148" t="s">
        <v>289</v>
      </c>
      <c r="D1265" s="149">
        <v>5247.0</v>
      </c>
      <c r="E1265" s="149">
        <v>4058.0</v>
      </c>
      <c r="F1265" s="149">
        <v>14.0</v>
      </c>
    </row>
    <row r="1266" ht="14.25" customHeight="1">
      <c r="A1266" s="148" t="s">
        <v>290</v>
      </c>
      <c r="B1266" s="148" t="s">
        <v>291</v>
      </c>
      <c r="C1266" s="148" t="s">
        <v>292</v>
      </c>
      <c r="D1266" s="149">
        <v>601.0</v>
      </c>
      <c r="E1266" s="149">
        <v>584.0</v>
      </c>
      <c r="F1266" s="149">
        <v>2.0</v>
      </c>
    </row>
    <row r="1267" ht="14.25" customHeight="1">
      <c r="A1267" s="150"/>
      <c r="B1267" s="82" t="s">
        <v>65</v>
      </c>
      <c r="C1267" s="82" t="s">
        <v>293</v>
      </c>
      <c r="D1267" s="76"/>
      <c r="E1267" s="76"/>
      <c r="F1267" s="83">
        <v>29.0</v>
      </c>
    </row>
    <row r="1268" ht="14.25" customHeight="1">
      <c r="A1268" s="150"/>
      <c r="B1268" s="146"/>
      <c r="C1268" s="76"/>
      <c r="D1268" s="76"/>
      <c r="E1268" s="76"/>
      <c r="F1268" s="76"/>
    </row>
    <row r="1269" ht="14.25" customHeight="1">
      <c r="A1269" s="84" t="s">
        <v>119</v>
      </c>
      <c r="B1269" s="146"/>
      <c r="C1269" s="76"/>
      <c r="D1269" s="76"/>
      <c r="E1269" s="76"/>
      <c r="F1269" s="76"/>
    </row>
    <row r="1270" ht="14.25" customHeight="1">
      <c r="A1270" s="79" t="s">
        <v>67</v>
      </c>
      <c r="B1270" s="79" t="s">
        <v>68</v>
      </c>
      <c r="C1270" s="76"/>
      <c r="D1270" s="76"/>
      <c r="E1270" s="76"/>
      <c r="F1270" s="76"/>
    </row>
    <row r="1271" ht="14.25" customHeight="1">
      <c r="A1271" s="80" t="s">
        <v>70</v>
      </c>
      <c r="B1271" s="81">
        <v>10.0</v>
      </c>
      <c r="C1271" s="76"/>
      <c r="D1271" s="76"/>
      <c r="E1271" s="76"/>
      <c r="F1271" s="76"/>
    </row>
    <row r="1272" ht="14.25" customHeight="1">
      <c r="A1272" s="80" t="s">
        <v>123</v>
      </c>
      <c r="B1272" s="81">
        <v>9.0</v>
      </c>
      <c r="C1272" s="76"/>
      <c r="D1272" s="76"/>
      <c r="E1272" s="76"/>
      <c r="F1272" s="76"/>
    </row>
    <row r="1273" ht="14.25" customHeight="1">
      <c r="A1273" s="80" t="s">
        <v>120</v>
      </c>
      <c r="B1273" s="81">
        <v>8.0</v>
      </c>
      <c r="C1273" s="76"/>
      <c r="D1273" s="76"/>
      <c r="E1273" s="76"/>
      <c r="F1273" s="76"/>
    </row>
    <row r="1274" ht="14.25" customHeight="1">
      <c r="A1274" s="80" t="s">
        <v>69</v>
      </c>
      <c r="B1274" s="81">
        <v>6.0</v>
      </c>
      <c r="C1274" s="76"/>
      <c r="D1274" s="76"/>
      <c r="E1274" s="76"/>
      <c r="F1274" s="76"/>
    </row>
    <row r="1275" ht="14.25" customHeight="1">
      <c r="A1275" s="80" t="s">
        <v>121</v>
      </c>
      <c r="B1275" s="81">
        <v>6.0</v>
      </c>
      <c r="C1275" s="76"/>
      <c r="D1275" s="76"/>
      <c r="E1275" s="76"/>
      <c r="F1275" s="76"/>
    </row>
    <row r="1276" ht="14.25" customHeight="1">
      <c r="A1276" s="80" t="s">
        <v>122</v>
      </c>
      <c r="B1276" s="81">
        <v>6.0</v>
      </c>
      <c r="C1276" s="76"/>
      <c r="D1276" s="76"/>
      <c r="E1276" s="76"/>
      <c r="F1276" s="76"/>
    </row>
    <row r="1277" ht="14.25" customHeight="1">
      <c r="A1277" s="150"/>
      <c r="B1277" s="83">
        <v>45.0</v>
      </c>
      <c r="C1277" s="76"/>
      <c r="D1277" s="76"/>
      <c r="E1277" s="76"/>
      <c r="F1277" s="76"/>
    </row>
    <row r="1278" ht="14.25" customHeight="1">
      <c r="A1278" s="150"/>
      <c r="B1278" s="146"/>
      <c r="C1278" s="76"/>
      <c r="D1278" s="76"/>
      <c r="E1278" s="76"/>
      <c r="F1278" s="76"/>
    </row>
    <row r="1279" ht="14.25" customHeight="1">
      <c r="A1279" s="84" t="s">
        <v>124</v>
      </c>
      <c r="B1279" s="146"/>
      <c r="C1279" s="76"/>
      <c r="D1279" s="76"/>
      <c r="E1279" s="76"/>
      <c r="F1279" s="76"/>
    </row>
    <row r="1280" ht="14.25" customHeight="1">
      <c r="A1280" s="79" t="s">
        <v>67</v>
      </c>
      <c r="B1280" s="79" t="s">
        <v>73</v>
      </c>
      <c r="C1280" s="79" t="s">
        <v>74</v>
      </c>
      <c r="D1280" s="79" t="s">
        <v>75</v>
      </c>
      <c r="E1280" s="79" t="s">
        <v>68</v>
      </c>
      <c r="F1280" s="76"/>
    </row>
    <row r="1281" ht="14.25" customHeight="1">
      <c r="A1281" s="80" t="s">
        <v>70</v>
      </c>
      <c r="B1281" s="81">
        <v>30.0</v>
      </c>
      <c r="C1281" s="81">
        <v>0.0</v>
      </c>
      <c r="D1281" s="81">
        <v>10.0</v>
      </c>
      <c r="E1281" s="81">
        <v>40.0</v>
      </c>
      <c r="F1281" s="76"/>
    </row>
    <row r="1282" ht="14.25" customHeight="1">
      <c r="A1282" s="80" t="s">
        <v>123</v>
      </c>
      <c r="B1282" s="81">
        <v>9.0</v>
      </c>
      <c r="C1282" s="81">
        <v>0.0</v>
      </c>
      <c r="D1282" s="81">
        <v>16.0</v>
      </c>
      <c r="E1282" s="81">
        <v>25.0</v>
      </c>
      <c r="F1282" s="76"/>
    </row>
    <row r="1283" ht="14.25" customHeight="1">
      <c r="A1283" s="80" t="s">
        <v>125</v>
      </c>
      <c r="B1283" s="81">
        <v>16.0</v>
      </c>
      <c r="C1283" s="81">
        <v>0.0</v>
      </c>
      <c r="D1283" s="81">
        <v>0.0</v>
      </c>
      <c r="E1283" s="81">
        <v>16.0</v>
      </c>
      <c r="F1283" s="76"/>
    </row>
    <row r="1284" ht="14.25" customHeight="1">
      <c r="A1284" s="80" t="s">
        <v>130</v>
      </c>
      <c r="B1284" s="81">
        <v>7.0</v>
      </c>
      <c r="C1284" s="81">
        <v>0.0</v>
      </c>
      <c r="D1284" s="81">
        <v>0.0</v>
      </c>
      <c r="E1284" s="81">
        <v>7.0</v>
      </c>
      <c r="F1284" s="76"/>
    </row>
    <row r="1285" ht="14.25" customHeight="1">
      <c r="A1285" s="80" t="s">
        <v>122</v>
      </c>
      <c r="B1285" s="81">
        <v>3.0</v>
      </c>
      <c r="C1285" s="81">
        <v>0.0</v>
      </c>
      <c r="D1285" s="81">
        <v>0.0</v>
      </c>
      <c r="E1285" s="81">
        <v>3.0</v>
      </c>
      <c r="F1285" s="76"/>
    </row>
    <row r="1286" ht="14.25" customHeight="1">
      <c r="A1286" s="80" t="s">
        <v>121</v>
      </c>
      <c r="B1286" s="81">
        <v>2.0</v>
      </c>
      <c r="C1286" s="81">
        <v>0.0</v>
      </c>
      <c r="D1286" s="81">
        <v>0.0</v>
      </c>
      <c r="E1286" s="81">
        <v>2.0</v>
      </c>
      <c r="F1286" s="76"/>
    </row>
    <row r="1287" ht="14.25" customHeight="1">
      <c r="A1287" s="150"/>
      <c r="B1287" s="146"/>
      <c r="C1287" s="76"/>
      <c r="D1287" s="76"/>
      <c r="E1287" s="76"/>
      <c r="F1287" s="76"/>
    </row>
    <row r="1288" ht="14.25" customHeight="1">
      <c r="A1288" s="84" t="s">
        <v>77</v>
      </c>
      <c r="B1288" s="143"/>
      <c r="C1288" s="76"/>
      <c r="D1288" s="76"/>
      <c r="E1288" s="76"/>
      <c r="F1288" s="76"/>
    </row>
    <row r="1289" ht="14.25" customHeight="1">
      <c r="A1289" s="86" t="s">
        <v>79</v>
      </c>
      <c r="B1289" s="86" t="s">
        <v>5</v>
      </c>
      <c r="C1289" s="76"/>
      <c r="D1289" s="76"/>
      <c r="E1289" s="76"/>
      <c r="F1289" s="76"/>
    </row>
    <row r="1290" ht="14.25" customHeight="1">
      <c r="A1290" s="151" t="s">
        <v>126</v>
      </c>
      <c r="B1290" s="152">
        <v>13.0</v>
      </c>
      <c r="C1290" s="76"/>
      <c r="D1290" s="76"/>
      <c r="E1290" s="76"/>
      <c r="F1290" s="76"/>
    </row>
    <row r="1291" ht="14.25" customHeight="1">
      <c r="A1291" s="151" t="s">
        <v>208</v>
      </c>
      <c r="B1291" s="152">
        <v>11.0</v>
      </c>
      <c r="C1291" s="76"/>
      <c r="D1291" s="76"/>
      <c r="E1291" s="76"/>
      <c r="F1291" s="76"/>
    </row>
    <row r="1292" ht="14.25" customHeight="1">
      <c r="A1292" s="151" t="s">
        <v>83</v>
      </c>
      <c r="B1292" s="152">
        <v>4.0</v>
      </c>
      <c r="C1292" s="76"/>
      <c r="D1292" s="76"/>
      <c r="E1292" s="76"/>
      <c r="F1292" s="76"/>
    </row>
    <row r="1293" ht="14.25" customHeight="1">
      <c r="A1293" s="151" t="s">
        <v>206</v>
      </c>
      <c r="B1293" s="152">
        <v>2.0</v>
      </c>
      <c r="C1293" s="76"/>
      <c r="D1293" s="76"/>
      <c r="E1293" s="76"/>
      <c r="F1293" s="76"/>
    </row>
    <row r="1294" ht="14.25" customHeight="1">
      <c r="A1294" s="151" t="s">
        <v>294</v>
      </c>
      <c r="B1294" s="152">
        <v>1.0</v>
      </c>
      <c r="C1294" s="76"/>
      <c r="D1294" s="76"/>
      <c r="E1294" s="76"/>
      <c r="F1294" s="76"/>
    </row>
    <row r="1295" ht="14.25" customHeight="1">
      <c r="A1295" s="151" t="s">
        <v>280</v>
      </c>
      <c r="B1295" s="152">
        <v>1.0</v>
      </c>
      <c r="C1295" s="76"/>
      <c r="D1295" s="76"/>
      <c r="E1295" s="76"/>
      <c r="F1295" s="76"/>
    </row>
    <row r="1296" ht="14.25" customHeight="1">
      <c r="A1296" s="150"/>
      <c r="B1296" s="146"/>
      <c r="C1296" s="76"/>
      <c r="D1296" s="76"/>
      <c r="E1296" s="76"/>
      <c r="F1296" s="76"/>
    </row>
    <row r="1297" ht="14.25" customHeight="1">
      <c r="A1297" s="89" t="s">
        <v>127</v>
      </c>
      <c r="B1297" s="132" t="s">
        <v>295</v>
      </c>
      <c r="C1297" s="78"/>
      <c r="D1297" s="76"/>
      <c r="E1297" s="76"/>
      <c r="F1297" s="76"/>
    </row>
    <row r="1298" ht="14.25" customHeight="1">
      <c r="A1298" s="89" t="s">
        <v>129</v>
      </c>
      <c r="B1298" s="132" t="s">
        <v>54</v>
      </c>
      <c r="C1298" s="78"/>
      <c r="D1298" s="76"/>
      <c r="E1298" s="76"/>
      <c r="F1298" s="76"/>
    </row>
    <row r="1299" ht="14.25" customHeight="1">
      <c r="A1299" s="89" t="s">
        <v>131</v>
      </c>
      <c r="B1299" s="132" t="s">
        <v>54</v>
      </c>
      <c r="C1299" s="78"/>
      <c r="D1299" s="76"/>
      <c r="E1299" s="76"/>
      <c r="F1299" s="76"/>
    </row>
    <row r="1300" ht="14.25" customHeight="1">
      <c r="A1300" s="89" t="s">
        <v>132</v>
      </c>
      <c r="B1300" s="132" t="s">
        <v>54</v>
      </c>
      <c r="C1300" s="78"/>
      <c r="D1300" s="76"/>
      <c r="E1300" s="76"/>
      <c r="F1300" s="76"/>
    </row>
    <row r="1301" ht="14.25" customHeight="1">
      <c r="A1301" s="144"/>
      <c r="B1301" s="143"/>
      <c r="C1301" s="78"/>
      <c r="D1301" s="76"/>
      <c r="E1301" s="76"/>
      <c r="F1301" s="76"/>
    </row>
    <row r="1302" ht="14.25" customHeight="1">
      <c r="A1302" s="93" t="s">
        <v>7</v>
      </c>
      <c r="B1302" s="93" t="s">
        <v>295</v>
      </c>
      <c r="C1302" s="95">
        <v>1.0</v>
      </c>
      <c r="D1302" s="76"/>
      <c r="E1302" s="76"/>
      <c r="F1302" s="76"/>
    </row>
    <row r="1303" ht="14.25" customHeight="1">
      <c r="A1303" s="144"/>
      <c r="B1303" s="143"/>
      <c r="C1303" s="78"/>
      <c r="D1303" s="76"/>
      <c r="E1303" s="76"/>
      <c r="F1303" s="76"/>
    </row>
    <row r="1304" ht="14.25" customHeight="1">
      <c r="A1304" s="66" t="s">
        <v>1</v>
      </c>
      <c r="B1304" s="44">
        <v>46226.0</v>
      </c>
      <c r="C1304" s="78"/>
      <c r="D1304" s="76"/>
      <c r="E1304" s="76"/>
      <c r="F1304" s="76"/>
    </row>
    <row r="1305" ht="14.25" customHeight="1">
      <c r="A1305" s="96" t="s">
        <v>4</v>
      </c>
      <c r="B1305" s="13" t="s">
        <v>293</v>
      </c>
      <c r="C1305" s="78"/>
      <c r="D1305" s="76"/>
      <c r="E1305" s="76"/>
      <c r="F1305" s="76"/>
    </row>
    <row r="1306" ht="14.25" customHeight="1">
      <c r="A1306" s="96" t="s">
        <v>5</v>
      </c>
      <c r="B1306" s="13">
        <v>29.0</v>
      </c>
      <c r="C1306" s="78"/>
      <c r="D1306" s="76"/>
      <c r="E1306" s="76"/>
      <c r="F1306" s="76"/>
    </row>
    <row r="1307" ht="14.25" customHeight="1">
      <c r="A1307" s="96" t="s">
        <v>6</v>
      </c>
      <c r="B1307" s="13" t="s">
        <v>296</v>
      </c>
      <c r="C1307" s="78"/>
      <c r="D1307" s="76"/>
      <c r="E1307" s="76"/>
      <c r="F1307" s="76"/>
    </row>
    <row r="1308" ht="14.25" customHeight="1">
      <c r="A1308" s="96" t="s">
        <v>7</v>
      </c>
      <c r="B1308" s="13" t="s">
        <v>295</v>
      </c>
      <c r="C1308" s="78"/>
      <c r="D1308" s="76"/>
      <c r="E1308" s="76"/>
      <c r="F1308" s="76"/>
    </row>
    <row r="1309" ht="14.25" customHeight="1">
      <c r="A1309" s="96" t="s">
        <v>9</v>
      </c>
      <c r="B1309" s="39">
        <v>0.18</v>
      </c>
      <c r="C1309" s="78"/>
      <c r="D1309" s="76"/>
      <c r="E1309" s="76"/>
      <c r="F1309" s="76"/>
    </row>
    <row r="1310" ht="14.25" customHeight="1">
      <c r="A1310" s="96" t="s">
        <v>18</v>
      </c>
      <c r="B1310" s="13">
        <v>5.62</v>
      </c>
      <c r="C1310" s="78"/>
      <c r="D1310" s="76"/>
      <c r="E1310" s="76"/>
      <c r="F1310" s="76"/>
    </row>
    <row r="1311" ht="14.25" customHeight="1">
      <c r="A1311" s="96" t="s">
        <v>22</v>
      </c>
      <c r="B1311" s="13" t="s">
        <v>295</v>
      </c>
      <c r="C1311" s="78"/>
      <c r="D1311" s="76"/>
      <c r="E1311" s="76"/>
      <c r="F1311" s="76"/>
    </row>
    <row r="1312" ht="14.25" customHeight="1">
      <c r="A1312" s="96" t="s">
        <v>29</v>
      </c>
      <c r="B1312" s="39">
        <v>0.0345</v>
      </c>
      <c r="C1312" s="78"/>
      <c r="D1312" s="76"/>
      <c r="E1312" s="76"/>
      <c r="F1312" s="76"/>
    </row>
    <row r="1313" ht="14.25" customHeight="1">
      <c r="A1313" s="80"/>
      <c r="B1313" s="142"/>
      <c r="C1313" s="78"/>
      <c r="D1313" s="78"/>
      <c r="E1313" s="78"/>
      <c r="F1313" s="78"/>
    </row>
    <row r="1314" ht="14.25" customHeight="1">
      <c r="A1314" s="80"/>
      <c r="B1314" s="142"/>
      <c r="C1314" s="78"/>
      <c r="D1314" s="78"/>
      <c r="E1314" s="78"/>
      <c r="F1314" s="78"/>
    </row>
    <row r="1315" ht="14.25" customHeight="1">
      <c r="A1315" s="77" t="s">
        <v>297</v>
      </c>
      <c r="B1315" s="143"/>
      <c r="C1315" s="78"/>
      <c r="D1315" s="78"/>
      <c r="E1315" s="78"/>
      <c r="F1315" s="78"/>
    </row>
    <row r="1316" ht="14.25" customHeight="1">
      <c r="A1316" s="79" t="s">
        <v>42</v>
      </c>
      <c r="B1316" s="79" t="s">
        <v>44</v>
      </c>
      <c r="C1316" s="79" t="s">
        <v>104</v>
      </c>
      <c r="D1316" s="79" t="s">
        <v>46</v>
      </c>
      <c r="E1316" s="79" t="s">
        <v>47</v>
      </c>
      <c r="F1316" s="79" t="s">
        <v>43</v>
      </c>
    </row>
    <row r="1317" ht="14.25" customHeight="1">
      <c r="A1317" s="80" t="s">
        <v>199</v>
      </c>
      <c r="B1317" s="80" t="s">
        <v>298</v>
      </c>
      <c r="C1317" s="80" t="s">
        <v>299</v>
      </c>
      <c r="D1317" s="81">
        <v>2814.0</v>
      </c>
      <c r="E1317" s="81">
        <v>2523.0</v>
      </c>
      <c r="F1317" s="81">
        <v>5.0</v>
      </c>
    </row>
    <row r="1318" ht="14.25" customHeight="1">
      <c r="A1318" s="80" t="s">
        <v>202</v>
      </c>
      <c r="B1318" s="80" t="s">
        <v>300</v>
      </c>
      <c r="C1318" s="80" t="s">
        <v>301</v>
      </c>
      <c r="D1318" s="81">
        <v>6490.0</v>
      </c>
      <c r="E1318" s="81">
        <v>5275.0</v>
      </c>
      <c r="F1318" s="81">
        <v>16.0</v>
      </c>
    </row>
    <row r="1319" ht="14.25" customHeight="1">
      <c r="A1319" s="80" t="s">
        <v>290</v>
      </c>
      <c r="B1319" s="80" t="s">
        <v>302</v>
      </c>
      <c r="C1319" s="80" t="s">
        <v>302</v>
      </c>
      <c r="D1319" s="81">
        <v>979.0</v>
      </c>
      <c r="E1319" s="81">
        <v>936.0</v>
      </c>
      <c r="F1319" s="81">
        <v>1.0</v>
      </c>
    </row>
    <row r="1320" ht="14.25" customHeight="1">
      <c r="A1320" s="144"/>
      <c r="B1320" s="83" t="s">
        <v>65</v>
      </c>
      <c r="C1320" s="83" t="s">
        <v>303</v>
      </c>
      <c r="D1320" s="78"/>
      <c r="E1320" s="78"/>
      <c r="F1320" s="83">
        <v>22.0</v>
      </c>
    </row>
    <row r="1321" ht="14.25" customHeight="1">
      <c r="A1321" s="144"/>
      <c r="B1321" s="143"/>
      <c r="C1321" s="78"/>
      <c r="D1321" s="78"/>
      <c r="E1321" s="78"/>
      <c r="F1321" s="78"/>
    </row>
    <row r="1322" ht="14.25" customHeight="1">
      <c r="A1322" s="84" t="s">
        <v>119</v>
      </c>
      <c r="B1322" s="143"/>
      <c r="C1322" s="78"/>
      <c r="D1322" s="78"/>
      <c r="E1322" s="78"/>
      <c r="F1322" s="78"/>
    </row>
    <row r="1323" ht="14.25" customHeight="1">
      <c r="A1323" s="79" t="s">
        <v>67</v>
      </c>
      <c r="B1323" s="79" t="s">
        <v>68</v>
      </c>
      <c r="C1323" s="78"/>
      <c r="D1323" s="78"/>
      <c r="E1323" s="78"/>
      <c r="F1323" s="78"/>
    </row>
    <row r="1324" ht="14.25" customHeight="1">
      <c r="A1324" s="80" t="s">
        <v>69</v>
      </c>
      <c r="B1324" s="81">
        <v>6.0</v>
      </c>
      <c r="C1324" s="78"/>
      <c r="D1324" s="78"/>
      <c r="E1324" s="78"/>
      <c r="F1324" s="78"/>
    </row>
    <row r="1325" ht="14.25" customHeight="1">
      <c r="A1325" s="80" t="s">
        <v>70</v>
      </c>
      <c r="B1325" s="81">
        <v>5.0</v>
      </c>
      <c r="C1325" s="78"/>
      <c r="D1325" s="78"/>
      <c r="E1325" s="78"/>
      <c r="F1325" s="78"/>
    </row>
    <row r="1326" ht="14.25" customHeight="1">
      <c r="A1326" s="80" t="s">
        <v>123</v>
      </c>
      <c r="B1326" s="81">
        <v>5.0</v>
      </c>
      <c r="C1326" s="78"/>
      <c r="D1326" s="78"/>
      <c r="E1326" s="78"/>
      <c r="F1326" s="78"/>
    </row>
    <row r="1327" ht="14.25" customHeight="1">
      <c r="A1327" s="80" t="s">
        <v>121</v>
      </c>
      <c r="B1327" s="81">
        <v>4.0</v>
      </c>
      <c r="C1327" s="78"/>
      <c r="D1327" s="78"/>
      <c r="E1327" s="78"/>
      <c r="F1327" s="78"/>
    </row>
    <row r="1328" ht="14.25" customHeight="1">
      <c r="A1328" s="80" t="s">
        <v>120</v>
      </c>
      <c r="B1328" s="81">
        <v>4.0</v>
      </c>
      <c r="C1328" s="78"/>
      <c r="D1328" s="78"/>
      <c r="E1328" s="78"/>
      <c r="F1328" s="78"/>
    </row>
    <row r="1329" ht="14.25" customHeight="1">
      <c r="A1329" s="80" t="s">
        <v>122</v>
      </c>
      <c r="B1329" s="81">
        <v>2.0</v>
      </c>
      <c r="C1329" s="78"/>
      <c r="D1329" s="78"/>
      <c r="E1329" s="78"/>
      <c r="F1329" s="78"/>
    </row>
    <row r="1330" ht="14.25" customHeight="1">
      <c r="A1330" s="144"/>
      <c r="B1330" s="83">
        <v>26.0</v>
      </c>
      <c r="C1330" s="78"/>
      <c r="D1330" s="78"/>
      <c r="E1330" s="78"/>
      <c r="F1330" s="78"/>
    </row>
    <row r="1331" ht="14.25" customHeight="1">
      <c r="A1331" s="144"/>
      <c r="B1331" s="143"/>
      <c r="C1331" s="78"/>
      <c r="D1331" s="78"/>
      <c r="E1331" s="78"/>
      <c r="F1331" s="78"/>
    </row>
    <row r="1332" ht="14.25" customHeight="1">
      <c r="A1332" s="84" t="s">
        <v>124</v>
      </c>
      <c r="B1332" s="143"/>
      <c r="C1332" s="78"/>
      <c r="D1332" s="78"/>
      <c r="E1332" s="78"/>
      <c r="F1332" s="78"/>
    </row>
    <row r="1333" ht="14.25" customHeight="1">
      <c r="A1333" s="79" t="s">
        <v>67</v>
      </c>
      <c r="B1333" s="79" t="s">
        <v>73</v>
      </c>
      <c r="C1333" s="79" t="s">
        <v>74</v>
      </c>
      <c r="D1333" s="79" t="s">
        <v>75</v>
      </c>
      <c r="E1333" s="79" t="s">
        <v>68</v>
      </c>
      <c r="F1333" s="78"/>
    </row>
    <row r="1334" ht="14.25" customHeight="1">
      <c r="A1334" s="80" t="s">
        <v>70</v>
      </c>
      <c r="B1334" s="81">
        <v>10.0</v>
      </c>
      <c r="C1334" s="81">
        <v>0.0</v>
      </c>
      <c r="D1334" s="81">
        <v>0.0</v>
      </c>
      <c r="E1334" s="81">
        <v>10.0</v>
      </c>
      <c r="F1334" s="78"/>
    </row>
    <row r="1335" ht="14.25" customHeight="1">
      <c r="A1335" s="80" t="s">
        <v>123</v>
      </c>
      <c r="B1335" s="81">
        <v>10.0</v>
      </c>
      <c r="C1335" s="81">
        <v>0.0</v>
      </c>
      <c r="D1335" s="81">
        <v>0.0</v>
      </c>
      <c r="E1335" s="81">
        <v>10.0</v>
      </c>
      <c r="F1335" s="78"/>
    </row>
    <row r="1336" ht="14.25" customHeight="1">
      <c r="A1336" s="80" t="s">
        <v>125</v>
      </c>
      <c r="B1336" s="81">
        <v>3.0</v>
      </c>
      <c r="C1336" s="81">
        <v>0.0</v>
      </c>
      <c r="D1336" s="81">
        <v>0.0</v>
      </c>
      <c r="E1336" s="81">
        <v>3.0</v>
      </c>
      <c r="F1336" s="78"/>
    </row>
    <row r="1337" ht="14.25" customHeight="1">
      <c r="A1337" s="80" t="s">
        <v>121</v>
      </c>
      <c r="B1337" s="81">
        <v>3.0</v>
      </c>
      <c r="C1337" s="81">
        <v>0.0</v>
      </c>
      <c r="D1337" s="81">
        <v>0.0</v>
      </c>
      <c r="E1337" s="81">
        <v>3.0</v>
      </c>
      <c r="F1337" s="78"/>
    </row>
    <row r="1338" ht="14.25" customHeight="1">
      <c r="A1338" s="80" t="s">
        <v>122</v>
      </c>
      <c r="B1338" s="81">
        <v>1.0</v>
      </c>
      <c r="C1338" s="81">
        <v>0.0</v>
      </c>
      <c r="D1338" s="81">
        <v>0.0</v>
      </c>
      <c r="E1338" s="81">
        <v>1.0</v>
      </c>
      <c r="F1338" s="78"/>
    </row>
    <row r="1339" ht="14.25" customHeight="1">
      <c r="A1339" s="144"/>
      <c r="B1339" s="143"/>
      <c r="C1339" s="78"/>
      <c r="D1339" s="78"/>
      <c r="E1339" s="78"/>
      <c r="F1339" s="78"/>
    </row>
    <row r="1340" ht="14.25" customHeight="1">
      <c r="A1340" s="84" t="s">
        <v>77</v>
      </c>
      <c r="B1340" s="143"/>
      <c r="C1340" s="78"/>
      <c r="D1340" s="78"/>
      <c r="E1340" s="78"/>
      <c r="F1340" s="78"/>
    </row>
    <row r="1341" ht="14.25" customHeight="1">
      <c r="A1341" s="86" t="s">
        <v>79</v>
      </c>
      <c r="B1341" s="86" t="s">
        <v>5</v>
      </c>
      <c r="C1341" s="78"/>
      <c r="D1341" s="78"/>
      <c r="E1341" s="78"/>
      <c r="F1341" s="78"/>
    </row>
    <row r="1342" ht="14.25" customHeight="1">
      <c r="A1342" s="87" t="s">
        <v>126</v>
      </c>
      <c r="B1342" s="88">
        <v>9.0</v>
      </c>
      <c r="C1342" s="78"/>
      <c r="D1342" s="78"/>
      <c r="E1342" s="78"/>
      <c r="F1342" s="78"/>
    </row>
    <row r="1343" ht="14.25" customHeight="1">
      <c r="A1343" s="87" t="s">
        <v>208</v>
      </c>
      <c r="B1343" s="88">
        <v>5.0</v>
      </c>
      <c r="C1343" s="78"/>
      <c r="D1343" s="78"/>
      <c r="E1343" s="78"/>
      <c r="F1343" s="78"/>
    </row>
    <row r="1344" ht="14.25" customHeight="1">
      <c r="A1344" s="87" t="s">
        <v>83</v>
      </c>
      <c r="B1344" s="88">
        <v>4.0</v>
      </c>
      <c r="C1344" s="78"/>
      <c r="D1344" s="78"/>
      <c r="E1344" s="78"/>
      <c r="F1344" s="78"/>
    </row>
    <row r="1345" ht="14.25" customHeight="1">
      <c r="A1345" s="87" t="s">
        <v>133</v>
      </c>
      <c r="B1345" s="88">
        <v>4.0</v>
      </c>
      <c r="C1345" s="78"/>
      <c r="D1345" s="78"/>
      <c r="E1345" s="78"/>
      <c r="F1345" s="78"/>
    </row>
    <row r="1346" ht="14.25" customHeight="1">
      <c r="A1346" s="87" t="s">
        <v>174</v>
      </c>
      <c r="B1346" s="88">
        <v>1.0</v>
      </c>
      <c r="C1346" s="78"/>
      <c r="D1346" s="78"/>
      <c r="E1346" s="78"/>
      <c r="F1346" s="78"/>
    </row>
    <row r="1347" ht="14.25" customHeight="1">
      <c r="A1347" s="87" t="s">
        <v>86</v>
      </c>
      <c r="B1347" s="88">
        <v>1.0</v>
      </c>
      <c r="C1347" s="78"/>
      <c r="D1347" s="78"/>
      <c r="E1347" s="78"/>
      <c r="F1347" s="78"/>
    </row>
    <row r="1348" ht="14.25" customHeight="1">
      <c r="A1348" s="144"/>
      <c r="B1348" s="143"/>
      <c r="C1348" s="78"/>
      <c r="D1348" s="78"/>
      <c r="E1348" s="78"/>
      <c r="F1348" s="78"/>
    </row>
    <row r="1349" ht="14.25" customHeight="1">
      <c r="A1349" s="89" t="s">
        <v>127</v>
      </c>
      <c r="B1349" s="132" t="s">
        <v>54</v>
      </c>
      <c r="C1349" s="78"/>
      <c r="D1349" s="78"/>
      <c r="E1349" s="78"/>
      <c r="F1349" s="78"/>
    </row>
    <row r="1350" ht="14.25" customHeight="1">
      <c r="A1350" s="89" t="s">
        <v>129</v>
      </c>
      <c r="B1350" s="132" t="s">
        <v>54</v>
      </c>
      <c r="C1350" s="78"/>
      <c r="D1350" s="78"/>
      <c r="E1350" s="78"/>
      <c r="F1350" s="78"/>
    </row>
    <row r="1351" ht="14.25" customHeight="1">
      <c r="A1351" s="89" t="s">
        <v>131</v>
      </c>
      <c r="B1351" s="132" t="s">
        <v>54</v>
      </c>
      <c r="C1351" s="78"/>
      <c r="D1351" s="78"/>
      <c r="E1351" s="78"/>
      <c r="F1351" s="78"/>
    </row>
    <row r="1352" ht="14.25" customHeight="1">
      <c r="A1352" s="89" t="s">
        <v>132</v>
      </c>
      <c r="B1352" s="132" t="s">
        <v>54</v>
      </c>
      <c r="C1352" s="78"/>
      <c r="D1352" s="78"/>
      <c r="E1352" s="78"/>
      <c r="F1352" s="78"/>
    </row>
    <row r="1353" ht="14.25" customHeight="1">
      <c r="A1353" s="144"/>
      <c r="B1353" s="143"/>
      <c r="C1353" s="78"/>
      <c r="D1353" s="78"/>
      <c r="E1353" s="78"/>
      <c r="F1353" s="78"/>
    </row>
    <row r="1354" ht="14.25" customHeight="1">
      <c r="A1354" s="93" t="s">
        <v>7</v>
      </c>
      <c r="B1354" s="93" t="s">
        <v>54</v>
      </c>
      <c r="C1354" s="95">
        <v>1.0</v>
      </c>
      <c r="D1354" s="78"/>
      <c r="E1354" s="78"/>
      <c r="F1354" s="78"/>
    </row>
    <row r="1355" ht="14.25" customHeight="1">
      <c r="A1355" s="144"/>
      <c r="B1355" s="143"/>
      <c r="C1355" s="78"/>
      <c r="D1355" s="78"/>
      <c r="E1355" s="78"/>
      <c r="F1355" s="78"/>
    </row>
    <row r="1356" ht="14.25" customHeight="1">
      <c r="A1356" s="66" t="s">
        <v>1</v>
      </c>
      <c r="B1356" s="44">
        <v>46227.0</v>
      </c>
      <c r="C1356" s="78"/>
      <c r="D1356" s="78"/>
      <c r="E1356" s="78"/>
      <c r="F1356" s="78"/>
    </row>
    <row r="1357" ht="14.25" customHeight="1">
      <c r="A1357" s="96" t="s">
        <v>4</v>
      </c>
      <c r="B1357" s="13" t="s">
        <v>303</v>
      </c>
      <c r="C1357" s="78"/>
      <c r="D1357" s="78"/>
      <c r="E1357" s="78"/>
      <c r="F1357" s="78"/>
    </row>
    <row r="1358" ht="14.25" customHeight="1">
      <c r="A1358" s="96" t="s">
        <v>5</v>
      </c>
      <c r="B1358" s="13">
        <v>22.0</v>
      </c>
      <c r="C1358" s="78"/>
      <c r="D1358" s="78"/>
      <c r="E1358" s="78"/>
      <c r="F1358" s="78"/>
    </row>
    <row r="1359" ht="14.25" customHeight="1">
      <c r="A1359" s="96" t="s">
        <v>6</v>
      </c>
      <c r="B1359" s="13" t="s">
        <v>304</v>
      </c>
      <c r="C1359" s="78"/>
      <c r="D1359" s="78"/>
      <c r="E1359" s="78"/>
      <c r="F1359" s="78"/>
    </row>
    <row r="1360" ht="14.25" customHeight="1">
      <c r="A1360" s="96" t="s">
        <v>7</v>
      </c>
      <c r="B1360" s="13" t="s">
        <v>54</v>
      </c>
      <c r="C1360" s="78"/>
      <c r="D1360" s="78"/>
      <c r="E1360" s="78"/>
      <c r="F1360" s="78"/>
    </row>
    <row r="1361" ht="14.25" customHeight="1">
      <c r="A1361" s="96" t="s">
        <v>9</v>
      </c>
      <c r="B1361" s="13" t="s">
        <v>64</v>
      </c>
      <c r="C1361" s="78"/>
      <c r="D1361" s="78"/>
      <c r="E1361" s="78"/>
      <c r="F1361" s="78"/>
    </row>
    <row r="1362" ht="14.25" customHeight="1">
      <c r="A1362" s="96" t="s">
        <v>18</v>
      </c>
      <c r="B1362" s="13">
        <v>0.0</v>
      </c>
      <c r="C1362" s="78"/>
      <c r="D1362" s="78"/>
      <c r="E1362" s="78"/>
      <c r="F1362" s="78"/>
    </row>
    <row r="1363" ht="14.25" customHeight="1">
      <c r="A1363" s="96" t="s">
        <v>22</v>
      </c>
      <c r="B1363" s="13" t="s">
        <v>54</v>
      </c>
      <c r="C1363" s="78"/>
      <c r="D1363" s="78"/>
      <c r="E1363" s="78"/>
      <c r="F1363" s="78"/>
    </row>
    <row r="1364" ht="14.25" customHeight="1">
      <c r="A1364" s="96" t="s">
        <v>29</v>
      </c>
      <c r="B1364" s="39">
        <v>0.0455</v>
      </c>
      <c r="C1364" s="78"/>
      <c r="D1364" s="78"/>
      <c r="E1364" s="78"/>
      <c r="F1364" s="78"/>
    </row>
    <row r="1365" ht="14.25" customHeight="1">
      <c r="A1365" s="80"/>
      <c r="B1365" s="142"/>
      <c r="C1365" s="78"/>
      <c r="D1365" s="78"/>
      <c r="E1365" s="78"/>
      <c r="F1365" s="78"/>
    </row>
    <row r="1366" ht="14.25" customHeight="1">
      <c r="A1366" s="80"/>
      <c r="B1366" s="142"/>
      <c r="C1366" s="78"/>
      <c r="D1366" s="78"/>
      <c r="E1366" s="78"/>
      <c r="F1366" s="78"/>
    </row>
    <row r="1367" ht="14.25" customHeight="1">
      <c r="A1367" s="77" t="s">
        <v>305</v>
      </c>
      <c r="B1367" s="143"/>
      <c r="C1367" s="78"/>
      <c r="D1367" s="78"/>
      <c r="E1367" s="78"/>
      <c r="F1367" s="78"/>
    </row>
    <row r="1368" ht="14.25" customHeight="1">
      <c r="A1368" s="79" t="s">
        <v>42</v>
      </c>
      <c r="B1368" s="79" t="s">
        <v>44</v>
      </c>
      <c r="C1368" s="79" t="s">
        <v>104</v>
      </c>
      <c r="D1368" s="79" t="s">
        <v>46</v>
      </c>
      <c r="E1368" s="79" t="s">
        <v>47</v>
      </c>
      <c r="F1368" s="79" t="s">
        <v>43</v>
      </c>
    </row>
    <row r="1369" ht="14.25" customHeight="1">
      <c r="A1369" s="80" t="s">
        <v>199</v>
      </c>
      <c r="B1369" s="80" t="s">
        <v>306</v>
      </c>
      <c r="C1369" s="80" t="s">
        <v>307</v>
      </c>
      <c r="D1369" s="81">
        <v>3421.0</v>
      </c>
      <c r="E1369" s="81">
        <v>3118.0</v>
      </c>
      <c r="F1369" s="81">
        <v>9.0</v>
      </c>
    </row>
    <row r="1370" ht="14.25" customHeight="1">
      <c r="A1370" s="80" t="s">
        <v>202</v>
      </c>
      <c r="B1370" s="80" t="s">
        <v>308</v>
      </c>
      <c r="C1370" s="80" t="s">
        <v>309</v>
      </c>
      <c r="D1370" s="81">
        <v>20249.0</v>
      </c>
      <c r="E1370" s="81">
        <v>18027.0</v>
      </c>
      <c r="F1370" s="81">
        <v>20.0</v>
      </c>
    </row>
    <row r="1371" ht="14.25" customHeight="1">
      <c r="A1371" s="144"/>
      <c r="B1371" s="83" t="s">
        <v>65</v>
      </c>
      <c r="C1371" s="83" t="s">
        <v>310</v>
      </c>
      <c r="D1371" s="78"/>
      <c r="E1371" s="78"/>
      <c r="F1371" s="83">
        <v>29.0</v>
      </c>
    </row>
    <row r="1372" ht="14.25" customHeight="1">
      <c r="A1372" s="144"/>
      <c r="B1372" s="143"/>
      <c r="C1372" s="78"/>
      <c r="D1372" s="78"/>
      <c r="E1372" s="78"/>
      <c r="F1372" s="78"/>
    </row>
    <row r="1373" ht="14.25" customHeight="1">
      <c r="A1373" s="84" t="s">
        <v>119</v>
      </c>
      <c r="B1373" s="143"/>
      <c r="C1373" s="78"/>
      <c r="D1373" s="78"/>
      <c r="E1373" s="78"/>
      <c r="F1373" s="78"/>
    </row>
    <row r="1374" ht="14.25" customHeight="1">
      <c r="A1374" s="79" t="s">
        <v>67</v>
      </c>
      <c r="B1374" s="79" t="s">
        <v>68</v>
      </c>
      <c r="C1374" s="78"/>
      <c r="D1374" s="78"/>
      <c r="E1374" s="78"/>
      <c r="F1374" s="78"/>
    </row>
    <row r="1375" ht="14.25" customHeight="1">
      <c r="A1375" s="80" t="s">
        <v>70</v>
      </c>
      <c r="B1375" s="81">
        <v>6.0</v>
      </c>
      <c r="C1375" s="78"/>
      <c r="D1375" s="78"/>
      <c r="E1375" s="78"/>
      <c r="F1375" s="78"/>
    </row>
    <row r="1376" ht="14.25" customHeight="1">
      <c r="A1376" s="80" t="s">
        <v>120</v>
      </c>
      <c r="B1376" s="81">
        <v>5.0</v>
      </c>
      <c r="C1376" s="78"/>
      <c r="D1376" s="78"/>
      <c r="E1376" s="78"/>
      <c r="F1376" s="78"/>
    </row>
    <row r="1377" ht="14.25" customHeight="1">
      <c r="A1377" s="80" t="s">
        <v>123</v>
      </c>
      <c r="B1377" s="81">
        <v>4.0</v>
      </c>
      <c r="C1377" s="78"/>
      <c r="D1377" s="78"/>
      <c r="E1377" s="78"/>
      <c r="F1377" s="78"/>
    </row>
    <row r="1378" ht="14.25" customHeight="1">
      <c r="A1378" s="80" t="s">
        <v>69</v>
      </c>
      <c r="B1378" s="81">
        <v>4.0</v>
      </c>
      <c r="C1378" s="78"/>
      <c r="D1378" s="78"/>
      <c r="E1378" s="78"/>
      <c r="F1378" s="78"/>
    </row>
    <row r="1379" ht="14.25" customHeight="1">
      <c r="A1379" s="80" t="s">
        <v>122</v>
      </c>
      <c r="B1379" s="81">
        <v>4.0</v>
      </c>
      <c r="C1379" s="78"/>
      <c r="D1379" s="78"/>
      <c r="E1379" s="78"/>
      <c r="F1379" s="78"/>
    </row>
    <row r="1380" ht="14.25" customHeight="1">
      <c r="A1380" s="80" t="s">
        <v>121</v>
      </c>
      <c r="B1380" s="81">
        <v>3.0</v>
      </c>
      <c r="C1380" s="78"/>
      <c r="D1380" s="78"/>
      <c r="E1380" s="78"/>
      <c r="F1380" s="78"/>
    </row>
    <row r="1381" ht="14.25" customHeight="1">
      <c r="A1381" s="144"/>
      <c r="B1381" s="81">
        <v>26.0</v>
      </c>
      <c r="C1381" s="78"/>
      <c r="D1381" s="78"/>
      <c r="E1381" s="78"/>
      <c r="F1381" s="78"/>
    </row>
    <row r="1382" ht="14.25" customHeight="1">
      <c r="A1382" s="144"/>
      <c r="B1382" s="143"/>
      <c r="C1382" s="78"/>
      <c r="D1382" s="78"/>
      <c r="E1382" s="78"/>
      <c r="F1382" s="78"/>
    </row>
    <row r="1383" ht="14.25" customHeight="1">
      <c r="A1383" s="84" t="s">
        <v>124</v>
      </c>
      <c r="B1383" s="143"/>
      <c r="C1383" s="78"/>
      <c r="D1383" s="78"/>
      <c r="E1383" s="78"/>
      <c r="F1383" s="78"/>
    </row>
    <row r="1384" ht="14.25" customHeight="1">
      <c r="A1384" s="79" t="s">
        <v>67</v>
      </c>
      <c r="B1384" s="79" t="s">
        <v>73</v>
      </c>
      <c r="C1384" s="79" t="s">
        <v>74</v>
      </c>
      <c r="D1384" s="79" t="s">
        <v>75</v>
      </c>
      <c r="E1384" s="79" t="s">
        <v>68</v>
      </c>
      <c r="F1384" s="78"/>
    </row>
    <row r="1385" ht="14.25" customHeight="1">
      <c r="A1385" s="80" t="s">
        <v>123</v>
      </c>
      <c r="B1385" s="81">
        <v>17.0</v>
      </c>
      <c r="C1385" s="81">
        <v>0.0</v>
      </c>
      <c r="D1385" s="81">
        <v>0.0</v>
      </c>
      <c r="E1385" s="81">
        <v>17.0</v>
      </c>
      <c r="F1385" s="78"/>
    </row>
    <row r="1386" ht="14.25" customHeight="1">
      <c r="A1386" s="80" t="s">
        <v>125</v>
      </c>
      <c r="B1386" s="81">
        <v>3.0</v>
      </c>
      <c r="C1386" s="81">
        <v>0.0</v>
      </c>
      <c r="D1386" s="81">
        <v>0.0</v>
      </c>
      <c r="E1386" s="81">
        <v>3.0</v>
      </c>
      <c r="F1386" s="78"/>
    </row>
    <row r="1387" ht="14.25" customHeight="1">
      <c r="A1387" s="80" t="s">
        <v>121</v>
      </c>
      <c r="B1387" s="81">
        <v>1.0</v>
      </c>
      <c r="C1387" s="81">
        <v>0.0</v>
      </c>
      <c r="D1387" s="81">
        <v>0.0</v>
      </c>
      <c r="E1387" s="81">
        <v>1.0</v>
      </c>
      <c r="F1387" s="78"/>
    </row>
    <row r="1388" ht="14.25" customHeight="1">
      <c r="A1388" s="80" t="s">
        <v>122</v>
      </c>
      <c r="B1388" s="81">
        <v>1.0</v>
      </c>
      <c r="C1388" s="81">
        <v>0.0</v>
      </c>
      <c r="D1388" s="81">
        <v>0.0</v>
      </c>
      <c r="E1388" s="81">
        <v>1.0</v>
      </c>
      <c r="F1388" s="78"/>
    </row>
    <row r="1389" ht="14.25" customHeight="1">
      <c r="A1389" s="144"/>
      <c r="B1389" s="143"/>
      <c r="C1389" s="78"/>
      <c r="D1389" s="78"/>
      <c r="E1389" s="78"/>
      <c r="F1389" s="78"/>
    </row>
    <row r="1390" ht="14.25" customHeight="1">
      <c r="A1390" s="84" t="s">
        <v>77</v>
      </c>
      <c r="B1390" s="143"/>
      <c r="C1390" s="78"/>
      <c r="D1390" s="78"/>
      <c r="E1390" s="78"/>
      <c r="F1390" s="78"/>
    </row>
    <row r="1391" ht="14.25" customHeight="1">
      <c r="A1391" s="86" t="s">
        <v>79</v>
      </c>
      <c r="B1391" s="86" t="s">
        <v>5</v>
      </c>
      <c r="C1391" s="78"/>
      <c r="D1391" s="78"/>
      <c r="E1391" s="78"/>
      <c r="F1391" s="78"/>
    </row>
    <row r="1392" ht="14.25" customHeight="1">
      <c r="A1392" s="87" t="s">
        <v>82</v>
      </c>
      <c r="B1392" s="88">
        <v>11.0</v>
      </c>
      <c r="C1392" s="78"/>
      <c r="D1392" s="78"/>
      <c r="E1392" s="78"/>
      <c r="F1392" s="78"/>
    </row>
    <row r="1393" ht="14.25" customHeight="1">
      <c r="A1393" s="87" t="s">
        <v>83</v>
      </c>
      <c r="B1393" s="88">
        <v>7.0</v>
      </c>
      <c r="C1393" s="78"/>
      <c r="D1393" s="78"/>
      <c r="E1393" s="78"/>
      <c r="F1393" s="78"/>
    </row>
    <row r="1394" ht="14.25" customHeight="1">
      <c r="A1394" s="87" t="s">
        <v>208</v>
      </c>
      <c r="B1394" s="88">
        <v>6.0</v>
      </c>
      <c r="C1394" s="78"/>
      <c r="D1394" s="78"/>
      <c r="E1394" s="78"/>
      <c r="F1394" s="78"/>
    </row>
    <row r="1395" ht="14.25" customHeight="1">
      <c r="A1395" s="87" t="s">
        <v>133</v>
      </c>
      <c r="B1395" s="88">
        <v>2.0</v>
      </c>
      <c r="C1395" s="78"/>
      <c r="D1395" s="78"/>
      <c r="E1395" s="78"/>
      <c r="F1395" s="78"/>
    </row>
    <row r="1396" ht="14.25" customHeight="1">
      <c r="A1396" s="144"/>
      <c r="B1396" s="143"/>
      <c r="C1396" s="78"/>
      <c r="D1396" s="78"/>
      <c r="E1396" s="78"/>
      <c r="F1396" s="78"/>
    </row>
    <row r="1397" ht="14.25" customHeight="1">
      <c r="A1397" s="89" t="s">
        <v>127</v>
      </c>
      <c r="B1397" s="90" t="s">
        <v>55</v>
      </c>
      <c r="C1397" s="78"/>
      <c r="D1397" s="78"/>
      <c r="E1397" s="78"/>
      <c r="F1397" s="78"/>
    </row>
    <row r="1398" ht="14.25" customHeight="1">
      <c r="A1398" s="89" t="s">
        <v>129</v>
      </c>
      <c r="B1398" s="90" t="s">
        <v>54</v>
      </c>
      <c r="C1398" s="78"/>
      <c r="D1398" s="78"/>
      <c r="E1398" s="78"/>
      <c r="F1398" s="78"/>
    </row>
    <row r="1399" ht="14.25" customHeight="1">
      <c r="A1399" s="89" t="s">
        <v>131</v>
      </c>
      <c r="B1399" s="90" t="s">
        <v>54</v>
      </c>
      <c r="C1399" s="78"/>
      <c r="D1399" s="78"/>
      <c r="E1399" s="78"/>
      <c r="F1399" s="78"/>
    </row>
    <row r="1400" ht="14.25" customHeight="1">
      <c r="A1400" s="89" t="s">
        <v>132</v>
      </c>
      <c r="B1400" s="90" t="s">
        <v>54</v>
      </c>
      <c r="C1400" s="78"/>
      <c r="D1400" s="78"/>
      <c r="E1400" s="78"/>
      <c r="F1400" s="78"/>
    </row>
    <row r="1401" ht="14.25" customHeight="1">
      <c r="A1401" s="144"/>
      <c r="B1401" s="153"/>
      <c r="C1401" s="78"/>
      <c r="D1401" s="78"/>
      <c r="E1401" s="78"/>
      <c r="F1401" s="78"/>
    </row>
    <row r="1402" ht="14.25" customHeight="1">
      <c r="A1402" s="93" t="s">
        <v>7</v>
      </c>
      <c r="B1402" s="94" t="s">
        <v>55</v>
      </c>
      <c r="C1402" s="95">
        <v>1.0</v>
      </c>
      <c r="D1402" s="78"/>
      <c r="E1402" s="78"/>
      <c r="F1402" s="78"/>
    </row>
    <row r="1403" ht="14.25" customHeight="1">
      <c r="A1403" s="144"/>
      <c r="B1403" s="143"/>
      <c r="C1403" s="78"/>
      <c r="D1403" s="78"/>
      <c r="E1403" s="78"/>
      <c r="F1403" s="78"/>
    </row>
    <row r="1404" ht="14.25" customHeight="1">
      <c r="A1404" s="66" t="s">
        <v>1</v>
      </c>
      <c r="B1404" s="44">
        <v>46228.0</v>
      </c>
      <c r="C1404" s="78"/>
      <c r="D1404" s="78"/>
      <c r="E1404" s="78"/>
      <c r="F1404" s="78"/>
    </row>
    <row r="1405" ht="14.25" customHeight="1">
      <c r="A1405" s="96" t="s">
        <v>4</v>
      </c>
      <c r="B1405" s="13" t="s">
        <v>310</v>
      </c>
      <c r="C1405" s="78"/>
      <c r="D1405" s="78"/>
      <c r="E1405" s="78"/>
      <c r="F1405" s="78"/>
    </row>
    <row r="1406" ht="14.25" customHeight="1">
      <c r="A1406" s="96" t="s">
        <v>5</v>
      </c>
      <c r="B1406" s="13">
        <v>29.0</v>
      </c>
      <c r="C1406" s="78"/>
      <c r="D1406" s="78"/>
      <c r="E1406" s="78"/>
      <c r="F1406" s="78"/>
    </row>
    <row r="1407" ht="14.25" customHeight="1">
      <c r="A1407" s="96" t="s">
        <v>6</v>
      </c>
      <c r="B1407" s="13" t="s">
        <v>311</v>
      </c>
      <c r="C1407" s="78"/>
      <c r="D1407" s="78"/>
      <c r="E1407" s="78"/>
      <c r="F1407" s="78"/>
    </row>
    <row r="1408" ht="14.25" customHeight="1">
      <c r="A1408" s="96" t="s">
        <v>7</v>
      </c>
      <c r="B1408" s="13" t="s">
        <v>55</v>
      </c>
      <c r="C1408" s="78"/>
      <c r="D1408" s="78"/>
      <c r="E1408" s="78"/>
      <c r="F1408" s="78"/>
    </row>
    <row r="1409" ht="14.25" customHeight="1">
      <c r="A1409" s="96" t="s">
        <v>9</v>
      </c>
      <c r="B1409" s="39">
        <v>0.39</v>
      </c>
      <c r="C1409" s="78"/>
      <c r="D1409" s="78"/>
      <c r="E1409" s="78"/>
      <c r="F1409" s="78"/>
    </row>
    <row r="1410" ht="14.25" customHeight="1">
      <c r="A1410" s="96" t="s">
        <v>18</v>
      </c>
      <c r="B1410" s="13">
        <v>2.57</v>
      </c>
      <c r="C1410" s="78"/>
      <c r="D1410" s="78"/>
      <c r="E1410" s="78"/>
      <c r="F1410" s="78"/>
    </row>
    <row r="1411" ht="14.25" customHeight="1">
      <c r="A1411" s="96" t="s">
        <v>22</v>
      </c>
      <c r="B1411" s="13" t="s">
        <v>55</v>
      </c>
      <c r="C1411" s="78"/>
      <c r="D1411" s="78"/>
      <c r="E1411" s="78"/>
      <c r="F1411" s="78"/>
    </row>
    <row r="1412" ht="14.25" customHeight="1">
      <c r="A1412" s="96" t="s">
        <v>29</v>
      </c>
      <c r="B1412" s="39">
        <v>0.0345</v>
      </c>
      <c r="C1412" s="78"/>
      <c r="D1412" s="78"/>
      <c r="E1412" s="78"/>
      <c r="F1412" s="78"/>
    </row>
    <row r="1413" ht="14.25" customHeight="1">
      <c r="A1413" s="80"/>
      <c r="B1413" s="142"/>
      <c r="C1413" s="78"/>
      <c r="D1413" s="78"/>
      <c r="E1413" s="78"/>
      <c r="F1413" s="78"/>
    </row>
    <row r="1414" ht="14.25" customHeight="1">
      <c r="A1414" s="80"/>
      <c r="B1414" s="142"/>
      <c r="C1414" s="78"/>
      <c r="D1414" s="78"/>
      <c r="E1414" s="78"/>
      <c r="F1414" s="78"/>
    </row>
    <row r="1415" ht="14.25" customHeight="1">
      <c r="A1415" s="138" t="s">
        <v>312</v>
      </c>
      <c r="B1415" s="146"/>
      <c r="C1415" s="76"/>
      <c r="D1415" s="76"/>
      <c r="E1415" s="76"/>
      <c r="F1415" s="76"/>
    </row>
    <row r="1416" ht="14.25" customHeight="1">
      <c r="A1416" s="79" t="s">
        <v>42</v>
      </c>
      <c r="B1416" s="79" t="s">
        <v>44</v>
      </c>
      <c r="C1416" s="79" t="s">
        <v>104</v>
      </c>
      <c r="D1416" s="79" t="s">
        <v>46</v>
      </c>
      <c r="E1416" s="79" t="s">
        <v>47</v>
      </c>
      <c r="F1416" s="79" t="s">
        <v>43</v>
      </c>
    </row>
    <row r="1417" ht="14.25" customHeight="1">
      <c r="A1417" s="148" t="s">
        <v>199</v>
      </c>
      <c r="B1417" s="148" t="s">
        <v>313</v>
      </c>
      <c r="C1417" s="148" t="s">
        <v>314</v>
      </c>
      <c r="D1417" s="149">
        <v>6254.0</v>
      </c>
      <c r="E1417" s="149">
        <v>5886.0</v>
      </c>
      <c r="F1417" s="149">
        <v>12.0</v>
      </c>
    </row>
    <row r="1418" ht="14.25" customHeight="1">
      <c r="A1418" s="148" t="s">
        <v>202</v>
      </c>
      <c r="B1418" s="148" t="s">
        <v>315</v>
      </c>
      <c r="C1418" s="148" t="s">
        <v>316</v>
      </c>
      <c r="D1418" s="149">
        <v>13004.0</v>
      </c>
      <c r="E1418" s="149">
        <v>10816.0</v>
      </c>
      <c r="F1418" s="149">
        <v>29.0</v>
      </c>
    </row>
    <row r="1419" ht="14.25" customHeight="1">
      <c r="A1419" s="150"/>
      <c r="B1419" s="83" t="s">
        <v>65</v>
      </c>
      <c r="C1419" s="83" t="s">
        <v>317</v>
      </c>
      <c r="D1419" s="76"/>
      <c r="E1419" s="76"/>
      <c r="F1419" s="83">
        <v>41.0</v>
      </c>
    </row>
    <row r="1420" ht="14.25" customHeight="1">
      <c r="A1420" s="150"/>
      <c r="B1420" s="146"/>
      <c r="C1420" s="76"/>
      <c r="D1420" s="76"/>
      <c r="E1420" s="76"/>
      <c r="F1420" s="76"/>
    </row>
    <row r="1421" ht="14.25" customHeight="1">
      <c r="A1421" s="84" t="s">
        <v>119</v>
      </c>
      <c r="B1421" s="146"/>
      <c r="C1421" s="76"/>
      <c r="D1421" s="76"/>
      <c r="E1421" s="76"/>
      <c r="F1421" s="76"/>
    </row>
    <row r="1422" ht="14.25" customHeight="1">
      <c r="A1422" s="79" t="s">
        <v>67</v>
      </c>
      <c r="B1422" s="79" t="s">
        <v>68</v>
      </c>
      <c r="C1422" s="78"/>
      <c r="D1422" s="78"/>
      <c r="E1422" s="78"/>
      <c r="F1422" s="76"/>
    </row>
    <row r="1423" ht="14.25" customHeight="1">
      <c r="A1423" s="80" t="s">
        <v>69</v>
      </c>
      <c r="B1423" s="81">
        <v>5.0</v>
      </c>
      <c r="C1423" s="78"/>
      <c r="D1423" s="78"/>
      <c r="E1423" s="78"/>
      <c r="F1423" s="76"/>
    </row>
    <row r="1424" ht="14.25" customHeight="1">
      <c r="A1424" s="80" t="s">
        <v>121</v>
      </c>
      <c r="B1424" s="81">
        <v>5.0</v>
      </c>
      <c r="C1424" s="78"/>
      <c r="D1424" s="78"/>
      <c r="E1424" s="78"/>
      <c r="F1424" s="76"/>
    </row>
    <row r="1425" ht="14.25" customHeight="1">
      <c r="A1425" s="80" t="s">
        <v>70</v>
      </c>
      <c r="B1425" s="81">
        <v>3.0</v>
      </c>
      <c r="C1425" s="78"/>
      <c r="D1425" s="78"/>
      <c r="E1425" s="78"/>
      <c r="F1425" s="76"/>
    </row>
    <row r="1426" ht="14.25" customHeight="1">
      <c r="A1426" s="80" t="s">
        <v>120</v>
      </c>
      <c r="B1426" s="81">
        <v>3.0</v>
      </c>
      <c r="C1426" s="78"/>
      <c r="D1426" s="78"/>
      <c r="E1426" s="78"/>
      <c r="F1426" s="76"/>
    </row>
    <row r="1427" ht="14.25" customHeight="1">
      <c r="A1427" s="80" t="s">
        <v>122</v>
      </c>
      <c r="B1427" s="81">
        <v>3.0</v>
      </c>
      <c r="C1427" s="78"/>
      <c r="D1427" s="78"/>
      <c r="E1427" s="78"/>
      <c r="F1427" s="76"/>
    </row>
    <row r="1428" ht="14.25" customHeight="1">
      <c r="A1428" s="150"/>
      <c r="B1428" s="83">
        <v>19.0</v>
      </c>
      <c r="C1428" s="76"/>
      <c r="D1428" s="76"/>
      <c r="E1428" s="76"/>
      <c r="F1428" s="76"/>
    </row>
    <row r="1429" ht="14.25" customHeight="1">
      <c r="A1429" s="150"/>
      <c r="B1429" s="146"/>
      <c r="C1429" s="76"/>
      <c r="D1429" s="76"/>
      <c r="E1429" s="76"/>
      <c r="F1429" s="76"/>
    </row>
    <row r="1430" ht="14.25" customHeight="1">
      <c r="A1430" s="84" t="s">
        <v>124</v>
      </c>
      <c r="B1430" s="146"/>
      <c r="C1430" s="76"/>
      <c r="D1430" s="76"/>
      <c r="E1430" s="76"/>
      <c r="F1430" s="76"/>
    </row>
    <row r="1431" ht="14.25" customHeight="1">
      <c r="A1431" s="79" t="s">
        <v>67</v>
      </c>
      <c r="B1431" s="79" t="s">
        <v>73</v>
      </c>
      <c r="C1431" s="79" t="s">
        <v>74</v>
      </c>
      <c r="D1431" s="79" t="s">
        <v>75</v>
      </c>
      <c r="E1431" s="79" t="s">
        <v>68</v>
      </c>
      <c r="F1431" s="76"/>
    </row>
    <row r="1432" ht="14.25" customHeight="1">
      <c r="A1432" s="80" t="s">
        <v>130</v>
      </c>
      <c r="B1432" s="81">
        <v>19.0</v>
      </c>
      <c r="C1432" s="81">
        <v>0.0</v>
      </c>
      <c r="D1432" s="81">
        <v>3.0</v>
      </c>
      <c r="E1432" s="81">
        <v>22.0</v>
      </c>
      <c r="F1432" s="76"/>
    </row>
    <row r="1433" ht="14.25" customHeight="1">
      <c r="A1433" s="80" t="s">
        <v>121</v>
      </c>
      <c r="B1433" s="81">
        <v>19.0</v>
      </c>
      <c r="C1433" s="81">
        <v>0.0</v>
      </c>
      <c r="D1433" s="81">
        <v>0.0</v>
      </c>
      <c r="E1433" s="81">
        <v>19.0</v>
      </c>
      <c r="F1433" s="76"/>
    </row>
    <row r="1434" ht="14.25" customHeight="1">
      <c r="A1434" s="80" t="s">
        <v>122</v>
      </c>
      <c r="B1434" s="81">
        <v>19.0</v>
      </c>
      <c r="C1434" s="81">
        <v>0.0</v>
      </c>
      <c r="D1434" s="81">
        <v>0.0</v>
      </c>
      <c r="E1434" s="81">
        <v>19.0</v>
      </c>
      <c r="F1434" s="76"/>
    </row>
    <row r="1435" ht="14.25" customHeight="1">
      <c r="A1435" s="150"/>
      <c r="B1435" s="146"/>
      <c r="C1435" s="76"/>
      <c r="D1435" s="76"/>
      <c r="E1435" s="76"/>
      <c r="F1435" s="76"/>
    </row>
    <row r="1436" ht="14.25" customHeight="1">
      <c r="A1436" s="84" t="s">
        <v>77</v>
      </c>
      <c r="B1436" s="143"/>
      <c r="C1436" s="76"/>
      <c r="D1436" s="76"/>
      <c r="E1436" s="76"/>
      <c r="F1436" s="76"/>
    </row>
    <row r="1437" ht="14.25" customHeight="1">
      <c r="A1437" s="86" t="s">
        <v>79</v>
      </c>
      <c r="B1437" s="86" t="s">
        <v>5</v>
      </c>
      <c r="C1437" s="76"/>
      <c r="D1437" s="76"/>
      <c r="E1437" s="76"/>
      <c r="F1437" s="76"/>
    </row>
    <row r="1438" ht="14.25" customHeight="1">
      <c r="A1438" s="148" t="s">
        <v>133</v>
      </c>
      <c r="B1438" s="149">
        <v>10.0</v>
      </c>
      <c r="C1438" s="76"/>
      <c r="D1438" s="76"/>
      <c r="E1438" s="76"/>
      <c r="F1438" s="76"/>
    </row>
    <row r="1439" ht="14.25" customHeight="1">
      <c r="A1439" s="148" t="s">
        <v>83</v>
      </c>
      <c r="B1439" s="149">
        <v>10.0</v>
      </c>
      <c r="C1439" s="76"/>
      <c r="D1439" s="76"/>
      <c r="E1439" s="76"/>
      <c r="F1439" s="76"/>
    </row>
    <row r="1440" ht="14.25" customHeight="1">
      <c r="A1440" s="148" t="s">
        <v>126</v>
      </c>
      <c r="B1440" s="149">
        <v>9.0</v>
      </c>
      <c r="C1440" s="76"/>
      <c r="D1440" s="76"/>
      <c r="E1440" s="76"/>
      <c r="F1440" s="76"/>
    </row>
    <row r="1441" ht="14.25" customHeight="1">
      <c r="A1441" s="148" t="s">
        <v>280</v>
      </c>
      <c r="B1441" s="149">
        <v>6.0</v>
      </c>
      <c r="C1441" s="76"/>
      <c r="D1441" s="76"/>
      <c r="E1441" s="76"/>
      <c r="F1441" s="76"/>
    </row>
    <row r="1442" ht="14.25" customHeight="1">
      <c r="A1442" s="148" t="s">
        <v>208</v>
      </c>
      <c r="B1442" s="149">
        <v>3.0</v>
      </c>
      <c r="C1442" s="76"/>
      <c r="D1442" s="76"/>
      <c r="E1442" s="76"/>
      <c r="F1442" s="76"/>
    </row>
    <row r="1443" ht="14.25" customHeight="1">
      <c r="A1443" s="150"/>
      <c r="B1443" s="154"/>
      <c r="C1443" s="76"/>
      <c r="D1443" s="76"/>
      <c r="E1443" s="76"/>
      <c r="F1443" s="76"/>
    </row>
    <row r="1444" ht="14.25" customHeight="1">
      <c r="A1444" s="89" t="s">
        <v>127</v>
      </c>
      <c r="B1444" s="90" t="s">
        <v>54</v>
      </c>
      <c r="C1444" s="78"/>
      <c r="D1444" s="76"/>
      <c r="E1444" s="76"/>
      <c r="F1444" s="76"/>
    </row>
    <row r="1445" ht="14.25" customHeight="1">
      <c r="A1445" s="89" t="s">
        <v>129</v>
      </c>
      <c r="B1445" s="90" t="s">
        <v>318</v>
      </c>
      <c r="C1445" s="78"/>
      <c r="D1445" s="76"/>
      <c r="E1445" s="76"/>
      <c r="F1445" s="76"/>
    </row>
    <row r="1446" ht="14.25" customHeight="1">
      <c r="A1446" s="89" t="s">
        <v>131</v>
      </c>
      <c r="B1446" s="90" t="s">
        <v>54</v>
      </c>
      <c r="C1446" s="78"/>
      <c r="D1446" s="76"/>
      <c r="E1446" s="76"/>
      <c r="F1446" s="76"/>
    </row>
    <row r="1447" ht="14.25" customHeight="1">
      <c r="A1447" s="89" t="s">
        <v>132</v>
      </c>
      <c r="B1447" s="90" t="s">
        <v>54</v>
      </c>
      <c r="C1447" s="78"/>
      <c r="D1447" s="76"/>
      <c r="E1447" s="76"/>
      <c r="F1447" s="76"/>
    </row>
    <row r="1448" ht="14.25" customHeight="1">
      <c r="A1448" s="144"/>
      <c r="B1448" s="143"/>
      <c r="C1448" s="78"/>
      <c r="D1448" s="76"/>
      <c r="E1448" s="76"/>
      <c r="F1448" s="76"/>
    </row>
    <row r="1449" ht="14.25" customHeight="1">
      <c r="A1449" s="93" t="s">
        <v>7</v>
      </c>
      <c r="B1449" s="94" t="s">
        <v>318</v>
      </c>
      <c r="C1449" s="95">
        <v>1.0</v>
      </c>
      <c r="D1449" s="76"/>
      <c r="E1449" s="76"/>
      <c r="F1449" s="76"/>
    </row>
    <row r="1450" ht="14.25" customHeight="1">
      <c r="A1450" s="144"/>
      <c r="B1450" s="143"/>
      <c r="C1450" s="78"/>
      <c r="D1450" s="76"/>
      <c r="E1450" s="76"/>
      <c r="F1450" s="76"/>
    </row>
    <row r="1451" ht="14.25" customHeight="1">
      <c r="A1451" s="66" t="s">
        <v>1</v>
      </c>
      <c r="B1451" s="44">
        <v>46229.0</v>
      </c>
      <c r="C1451" s="78"/>
      <c r="D1451" s="76"/>
      <c r="E1451" s="76"/>
      <c r="F1451" s="76"/>
    </row>
    <row r="1452" ht="14.25" customHeight="1">
      <c r="A1452" s="96" t="s">
        <v>4</v>
      </c>
      <c r="B1452" s="13" t="s">
        <v>317</v>
      </c>
      <c r="C1452" s="78"/>
      <c r="D1452" s="76"/>
      <c r="E1452" s="76"/>
      <c r="F1452" s="76"/>
    </row>
    <row r="1453" ht="14.25" customHeight="1">
      <c r="A1453" s="96" t="s">
        <v>5</v>
      </c>
      <c r="B1453" s="13">
        <v>41.0</v>
      </c>
      <c r="C1453" s="78"/>
      <c r="D1453" s="76"/>
      <c r="E1453" s="76"/>
      <c r="F1453" s="76"/>
    </row>
    <row r="1454" ht="14.25" customHeight="1">
      <c r="A1454" s="96" t="s">
        <v>6</v>
      </c>
      <c r="B1454" s="13" t="s">
        <v>319</v>
      </c>
      <c r="C1454" s="78"/>
      <c r="D1454" s="76"/>
      <c r="E1454" s="76"/>
      <c r="F1454" s="76"/>
    </row>
    <row r="1455" ht="14.25" customHeight="1">
      <c r="A1455" s="96" t="s">
        <v>7</v>
      </c>
      <c r="B1455" s="13" t="s">
        <v>318</v>
      </c>
      <c r="C1455" s="78"/>
      <c r="D1455" s="76"/>
      <c r="E1455" s="76"/>
      <c r="F1455" s="76"/>
    </row>
    <row r="1456" ht="14.25" customHeight="1">
      <c r="A1456" s="96" t="s">
        <v>9</v>
      </c>
      <c r="B1456" s="39">
        <v>0.45</v>
      </c>
      <c r="C1456" s="78"/>
      <c r="D1456" s="76"/>
      <c r="E1456" s="76"/>
      <c r="F1456" s="76"/>
    </row>
    <row r="1457" ht="14.25" customHeight="1">
      <c r="A1457" s="96" t="s">
        <v>18</v>
      </c>
      <c r="B1457" s="13">
        <v>2.2</v>
      </c>
      <c r="C1457" s="78"/>
      <c r="D1457" s="76"/>
      <c r="E1457" s="76"/>
      <c r="F1457" s="76"/>
    </row>
    <row r="1458" ht="14.25" customHeight="1">
      <c r="A1458" s="96" t="s">
        <v>22</v>
      </c>
      <c r="B1458" s="13" t="s">
        <v>318</v>
      </c>
      <c r="C1458" s="78"/>
      <c r="D1458" s="76"/>
      <c r="E1458" s="76"/>
      <c r="F1458" s="76"/>
    </row>
    <row r="1459" ht="14.25" customHeight="1">
      <c r="A1459" s="96" t="s">
        <v>29</v>
      </c>
      <c r="B1459" s="39">
        <v>0.0244</v>
      </c>
      <c r="C1459" s="78"/>
      <c r="D1459" s="76"/>
      <c r="E1459" s="76"/>
      <c r="F1459" s="76"/>
    </row>
    <row r="1460" ht="14.25" customHeight="1">
      <c r="A1460" s="80"/>
      <c r="B1460" s="142"/>
      <c r="C1460" s="78"/>
      <c r="D1460" s="78"/>
      <c r="E1460" s="78"/>
      <c r="F1460" s="78"/>
    </row>
    <row r="1461" ht="14.25" customHeight="1">
      <c r="A1461" s="80"/>
      <c r="B1461" s="142"/>
      <c r="C1461" s="78"/>
      <c r="D1461" s="78"/>
      <c r="E1461" s="78"/>
      <c r="F1461" s="78"/>
    </row>
    <row r="1462" ht="14.25" customHeight="1">
      <c r="A1462" s="77" t="s">
        <v>320</v>
      </c>
      <c r="B1462" s="143"/>
      <c r="C1462" s="78"/>
      <c r="D1462" s="78"/>
      <c r="E1462" s="78"/>
      <c r="F1462" s="78"/>
    </row>
    <row r="1463" ht="14.25" customHeight="1">
      <c r="A1463" s="79" t="s">
        <v>321</v>
      </c>
      <c r="B1463" s="79" t="s">
        <v>44</v>
      </c>
      <c r="C1463" s="79" t="s">
        <v>104</v>
      </c>
      <c r="D1463" s="79" t="s">
        <v>46</v>
      </c>
      <c r="E1463" s="79" t="s">
        <v>47</v>
      </c>
      <c r="F1463" s="79" t="s">
        <v>43</v>
      </c>
    </row>
    <row r="1464" ht="14.25" customHeight="1">
      <c r="A1464" s="80" t="s">
        <v>322</v>
      </c>
      <c r="B1464" s="80" t="s">
        <v>323</v>
      </c>
      <c r="C1464" s="80" t="s">
        <v>324</v>
      </c>
      <c r="D1464" s="81">
        <v>3147.0</v>
      </c>
      <c r="E1464" s="81">
        <v>2977.0</v>
      </c>
      <c r="F1464" s="81">
        <v>6.0</v>
      </c>
    </row>
    <row r="1465" ht="14.25" customHeight="1">
      <c r="A1465" s="80" t="s">
        <v>325</v>
      </c>
      <c r="B1465" s="80" t="s">
        <v>326</v>
      </c>
      <c r="C1465" s="80" t="s">
        <v>327</v>
      </c>
      <c r="D1465" s="81">
        <v>4932.0</v>
      </c>
      <c r="E1465" s="81">
        <v>4154.0</v>
      </c>
      <c r="F1465" s="81">
        <v>24.0</v>
      </c>
    </row>
    <row r="1466" ht="14.25" customHeight="1">
      <c r="A1466" s="80" t="s">
        <v>328</v>
      </c>
      <c r="B1466" s="80" t="s">
        <v>329</v>
      </c>
      <c r="C1466" s="80" t="s">
        <v>330</v>
      </c>
      <c r="D1466" s="81">
        <v>4709.0</v>
      </c>
      <c r="E1466" s="81">
        <v>4398.0</v>
      </c>
      <c r="F1466" s="81">
        <v>11.0</v>
      </c>
    </row>
    <row r="1467" ht="14.25" customHeight="1">
      <c r="A1467" s="80" t="s">
        <v>331</v>
      </c>
      <c r="B1467" s="80" t="s">
        <v>332</v>
      </c>
      <c r="C1467" s="80" t="s">
        <v>333</v>
      </c>
      <c r="D1467" s="81">
        <v>7010.0</v>
      </c>
      <c r="E1467" s="81">
        <v>6421.0</v>
      </c>
      <c r="F1467" s="81">
        <v>22.0</v>
      </c>
    </row>
    <row r="1468" ht="14.25" customHeight="1">
      <c r="A1468" s="144"/>
      <c r="B1468" s="83" t="s">
        <v>65</v>
      </c>
      <c r="C1468" s="83" t="s">
        <v>334</v>
      </c>
      <c r="D1468" s="78"/>
      <c r="E1468" s="78"/>
      <c r="F1468" s="83">
        <v>63.0</v>
      </c>
    </row>
    <row r="1469" ht="14.25" customHeight="1">
      <c r="A1469" s="144"/>
      <c r="B1469" s="143"/>
      <c r="C1469" s="78"/>
      <c r="D1469" s="78"/>
      <c r="E1469" s="78"/>
      <c r="F1469" s="78"/>
    </row>
    <row r="1470" ht="14.25" customHeight="1">
      <c r="A1470" s="84" t="s">
        <v>119</v>
      </c>
      <c r="B1470" s="143"/>
      <c r="C1470" s="78"/>
      <c r="D1470" s="78"/>
      <c r="E1470" s="78"/>
      <c r="F1470" s="78"/>
    </row>
    <row r="1471" ht="14.25" customHeight="1">
      <c r="A1471" s="79" t="s">
        <v>67</v>
      </c>
      <c r="B1471" s="79" t="s">
        <v>68</v>
      </c>
      <c r="C1471" s="78"/>
      <c r="D1471" s="78"/>
      <c r="E1471" s="78"/>
      <c r="F1471" s="78"/>
    </row>
    <row r="1472" ht="14.25" customHeight="1">
      <c r="A1472" s="80" t="s">
        <v>70</v>
      </c>
      <c r="B1472" s="81">
        <v>28.0</v>
      </c>
      <c r="C1472" s="78"/>
      <c r="D1472" s="78"/>
      <c r="E1472" s="78"/>
      <c r="F1472" s="78"/>
    </row>
    <row r="1473" ht="14.25" customHeight="1">
      <c r="A1473" s="80" t="s">
        <v>122</v>
      </c>
      <c r="B1473" s="81">
        <v>22.0</v>
      </c>
      <c r="C1473" s="78"/>
      <c r="D1473" s="78"/>
      <c r="E1473" s="78"/>
      <c r="F1473" s="78"/>
    </row>
    <row r="1474" ht="14.25" customHeight="1">
      <c r="A1474" s="80" t="s">
        <v>121</v>
      </c>
      <c r="B1474" s="81">
        <v>20.0</v>
      </c>
      <c r="C1474" s="78"/>
      <c r="D1474" s="78"/>
      <c r="E1474" s="78"/>
      <c r="F1474" s="78"/>
    </row>
    <row r="1475" ht="14.25" customHeight="1">
      <c r="A1475" s="80" t="s">
        <v>120</v>
      </c>
      <c r="B1475" s="81">
        <v>18.0</v>
      </c>
      <c r="C1475" s="78"/>
      <c r="D1475" s="78"/>
      <c r="E1475" s="78"/>
      <c r="F1475" s="78"/>
    </row>
    <row r="1476" ht="14.25" customHeight="1">
      <c r="A1476" s="80" t="s">
        <v>123</v>
      </c>
      <c r="B1476" s="81">
        <v>9.0</v>
      </c>
      <c r="C1476" s="78"/>
      <c r="D1476" s="78"/>
      <c r="E1476" s="78"/>
      <c r="F1476" s="78"/>
    </row>
    <row r="1477" ht="14.25" customHeight="1">
      <c r="A1477" s="80" t="s">
        <v>69</v>
      </c>
      <c r="B1477" s="81">
        <v>6.0</v>
      </c>
      <c r="C1477" s="78"/>
      <c r="D1477" s="78"/>
      <c r="E1477" s="78"/>
      <c r="F1477" s="78"/>
    </row>
    <row r="1478" ht="14.25" customHeight="1">
      <c r="A1478" s="144"/>
      <c r="B1478" s="83">
        <v>103.0</v>
      </c>
      <c r="C1478" s="78"/>
      <c r="D1478" s="78"/>
      <c r="E1478" s="78"/>
      <c r="F1478" s="78"/>
    </row>
    <row r="1479" ht="14.25" customHeight="1">
      <c r="A1479" s="144"/>
      <c r="B1479" s="143"/>
      <c r="C1479" s="78"/>
      <c r="D1479" s="78"/>
      <c r="E1479" s="78"/>
      <c r="F1479" s="78"/>
    </row>
    <row r="1480" ht="14.25" customHeight="1">
      <c r="A1480" s="84" t="s">
        <v>124</v>
      </c>
      <c r="B1480" s="143"/>
      <c r="C1480" s="78"/>
      <c r="D1480" s="78"/>
      <c r="E1480" s="78"/>
      <c r="F1480" s="78"/>
    </row>
    <row r="1481" ht="14.25" customHeight="1">
      <c r="A1481" s="79" t="s">
        <v>67</v>
      </c>
      <c r="B1481" s="79" t="s">
        <v>73</v>
      </c>
      <c r="C1481" s="79" t="s">
        <v>74</v>
      </c>
      <c r="D1481" s="79" t="s">
        <v>75</v>
      </c>
      <c r="E1481" s="79" t="s">
        <v>68</v>
      </c>
      <c r="F1481" s="78"/>
    </row>
    <row r="1482" ht="14.25" customHeight="1">
      <c r="A1482" s="80" t="s">
        <v>123</v>
      </c>
      <c r="B1482" s="81">
        <v>109.0</v>
      </c>
      <c r="C1482" s="81">
        <v>0.0</v>
      </c>
      <c r="D1482" s="81">
        <v>5.0</v>
      </c>
      <c r="E1482" s="81">
        <v>114.0</v>
      </c>
      <c r="F1482" s="78"/>
    </row>
    <row r="1483" ht="14.25" customHeight="1">
      <c r="A1483" s="80" t="s">
        <v>70</v>
      </c>
      <c r="B1483" s="81">
        <v>97.0</v>
      </c>
      <c r="C1483" s="81">
        <v>0.0</v>
      </c>
      <c r="D1483" s="81">
        <v>6.0</v>
      </c>
      <c r="E1483" s="81">
        <v>103.0</v>
      </c>
      <c r="F1483" s="78"/>
    </row>
    <row r="1484" ht="14.25" customHeight="1">
      <c r="A1484" s="80" t="s">
        <v>130</v>
      </c>
      <c r="B1484" s="81">
        <v>29.0</v>
      </c>
      <c r="C1484" s="81">
        <v>0.0</v>
      </c>
      <c r="D1484" s="81">
        <v>0.0</v>
      </c>
      <c r="E1484" s="81">
        <v>29.0</v>
      </c>
      <c r="F1484" s="78"/>
    </row>
    <row r="1485" ht="14.25" customHeight="1">
      <c r="A1485" s="80" t="s">
        <v>120</v>
      </c>
      <c r="B1485" s="81">
        <v>8.0</v>
      </c>
      <c r="C1485" s="81">
        <v>0.0</v>
      </c>
      <c r="D1485" s="81">
        <v>0.0</v>
      </c>
      <c r="E1485" s="81">
        <v>8.0</v>
      </c>
      <c r="F1485" s="78"/>
    </row>
    <row r="1486" ht="14.25" customHeight="1">
      <c r="A1486" s="80" t="s">
        <v>125</v>
      </c>
      <c r="B1486" s="81">
        <v>6.0</v>
      </c>
      <c r="C1486" s="81">
        <v>0.0</v>
      </c>
      <c r="D1486" s="81">
        <v>0.0</v>
      </c>
      <c r="E1486" s="81">
        <v>6.0</v>
      </c>
      <c r="F1486" s="78"/>
    </row>
    <row r="1487" ht="14.25" customHeight="1">
      <c r="A1487" s="80" t="s">
        <v>122</v>
      </c>
      <c r="B1487" s="81">
        <v>5.0</v>
      </c>
      <c r="C1487" s="81">
        <v>0.0</v>
      </c>
      <c r="D1487" s="81">
        <v>0.0</v>
      </c>
      <c r="E1487" s="81">
        <v>5.0</v>
      </c>
      <c r="F1487" s="78"/>
    </row>
    <row r="1488" ht="14.25" customHeight="1">
      <c r="A1488" s="144"/>
      <c r="B1488" s="143"/>
      <c r="C1488" s="78"/>
      <c r="D1488" s="78"/>
      <c r="E1488" s="78"/>
      <c r="F1488" s="78"/>
    </row>
    <row r="1489" ht="14.25" customHeight="1">
      <c r="A1489" s="84" t="s">
        <v>77</v>
      </c>
      <c r="B1489" s="143"/>
      <c r="C1489" s="78"/>
      <c r="D1489" s="78"/>
      <c r="E1489" s="78"/>
      <c r="F1489" s="78"/>
    </row>
    <row r="1490" ht="14.25" customHeight="1">
      <c r="A1490" s="86" t="s">
        <v>79</v>
      </c>
      <c r="B1490" s="86" t="s">
        <v>5</v>
      </c>
      <c r="C1490" s="78"/>
      <c r="D1490" s="78"/>
      <c r="E1490" s="78"/>
      <c r="F1490" s="78"/>
    </row>
    <row r="1491" ht="14.25" customHeight="1">
      <c r="A1491" s="87" t="s">
        <v>83</v>
      </c>
      <c r="B1491" s="88">
        <v>27.0</v>
      </c>
      <c r="C1491" s="78"/>
      <c r="D1491" s="78"/>
      <c r="E1491" s="78"/>
      <c r="F1491" s="78"/>
    </row>
    <row r="1492" ht="14.25" customHeight="1">
      <c r="A1492" s="87" t="s">
        <v>126</v>
      </c>
      <c r="B1492" s="88">
        <v>18.0</v>
      </c>
      <c r="C1492" s="78"/>
      <c r="D1492" s="78"/>
      <c r="E1492" s="78"/>
      <c r="F1492" s="78"/>
    </row>
    <row r="1493" ht="14.25" customHeight="1">
      <c r="A1493" s="87" t="s">
        <v>280</v>
      </c>
      <c r="B1493" s="88">
        <v>7.0</v>
      </c>
      <c r="C1493" s="78"/>
      <c r="D1493" s="78"/>
      <c r="E1493" s="78"/>
      <c r="F1493" s="78"/>
    </row>
    <row r="1494" ht="14.25" customHeight="1">
      <c r="A1494" s="87" t="s">
        <v>133</v>
      </c>
      <c r="B1494" s="88">
        <v>5.0</v>
      </c>
      <c r="C1494" s="78"/>
      <c r="D1494" s="78"/>
      <c r="E1494" s="78"/>
      <c r="F1494" s="78"/>
    </row>
    <row r="1495" ht="14.25" customHeight="1">
      <c r="A1495" s="87" t="s">
        <v>208</v>
      </c>
      <c r="B1495" s="88">
        <v>3.0</v>
      </c>
      <c r="C1495" s="78"/>
      <c r="D1495" s="78"/>
      <c r="E1495" s="78"/>
      <c r="F1495" s="78"/>
    </row>
    <row r="1496" ht="14.25" customHeight="1">
      <c r="A1496" s="87" t="s">
        <v>174</v>
      </c>
      <c r="B1496" s="88">
        <v>1.0</v>
      </c>
      <c r="C1496" s="78"/>
      <c r="D1496" s="78"/>
      <c r="E1496" s="78"/>
      <c r="F1496" s="78"/>
    </row>
    <row r="1497" ht="14.25" customHeight="1">
      <c r="A1497" s="87" t="s">
        <v>335</v>
      </c>
      <c r="B1497" s="88">
        <v>1.0</v>
      </c>
      <c r="C1497" s="78"/>
      <c r="D1497" s="78"/>
      <c r="E1497" s="78"/>
      <c r="F1497" s="78"/>
    </row>
    <row r="1498" ht="14.25" customHeight="1">
      <c r="A1498" s="87" t="s">
        <v>88</v>
      </c>
      <c r="B1498" s="88">
        <v>1.0</v>
      </c>
      <c r="C1498" s="78"/>
      <c r="D1498" s="78"/>
      <c r="E1498" s="78"/>
      <c r="F1498" s="78"/>
    </row>
    <row r="1499" ht="14.25" customHeight="1">
      <c r="A1499" s="144"/>
      <c r="B1499" s="143"/>
      <c r="C1499" s="78"/>
      <c r="D1499" s="78"/>
      <c r="E1499" s="78"/>
      <c r="F1499" s="78"/>
    </row>
    <row r="1500" ht="14.25" customHeight="1">
      <c r="A1500" s="89" t="s">
        <v>127</v>
      </c>
      <c r="B1500" s="90" t="s">
        <v>336</v>
      </c>
      <c r="C1500" s="78"/>
      <c r="D1500" s="78"/>
      <c r="E1500" s="78"/>
      <c r="F1500" s="78"/>
    </row>
    <row r="1501" ht="14.25" customHeight="1">
      <c r="A1501" s="89" t="s">
        <v>129</v>
      </c>
      <c r="B1501" s="90" t="s">
        <v>128</v>
      </c>
      <c r="C1501" s="78"/>
      <c r="D1501" s="78"/>
      <c r="E1501" s="78"/>
      <c r="F1501" s="78"/>
    </row>
    <row r="1502" ht="14.25" customHeight="1">
      <c r="A1502" s="89" t="s">
        <v>131</v>
      </c>
      <c r="B1502" s="90" t="s">
        <v>54</v>
      </c>
      <c r="C1502" s="78"/>
      <c r="D1502" s="78"/>
      <c r="E1502" s="78"/>
      <c r="F1502" s="78"/>
    </row>
    <row r="1503" ht="14.25" customHeight="1">
      <c r="A1503" s="89" t="s">
        <v>132</v>
      </c>
      <c r="B1503" s="90" t="s">
        <v>128</v>
      </c>
      <c r="C1503" s="78"/>
      <c r="D1503" s="78"/>
      <c r="E1503" s="78"/>
      <c r="F1503" s="78"/>
    </row>
    <row r="1504" ht="14.25" customHeight="1">
      <c r="A1504" s="144"/>
      <c r="B1504" s="153"/>
      <c r="C1504" s="78"/>
      <c r="D1504" s="78"/>
      <c r="E1504" s="78"/>
      <c r="F1504" s="78"/>
    </row>
    <row r="1505" ht="14.25" customHeight="1">
      <c r="A1505" s="93" t="s">
        <v>7</v>
      </c>
      <c r="B1505" s="94" t="s">
        <v>337</v>
      </c>
      <c r="C1505" s="95">
        <v>1.0</v>
      </c>
      <c r="D1505" s="78"/>
      <c r="E1505" s="78"/>
      <c r="F1505" s="78"/>
    </row>
    <row r="1506" ht="14.25" customHeight="1">
      <c r="A1506" s="144"/>
      <c r="B1506" s="143"/>
      <c r="C1506" s="78"/>
      <c r="D1506" s="78"/>
      <c r="E1506" s="78"/>
      <c r="F1506" s="78"/>
    </row>
    <row r="1507" ht="14.25" customHeight="1">
      <c r="A1507" s="66" t="s">
        <v>1</v>
      </c>
      <c r="B1507" s="44">
        <v>46230.0</v>
      </c>
      <c r="C1507" s="78"/>
      <c r="D1507" s="78"/>
      <c r="E1507" s="78"/>
      <c r="F1507" s="78"/>
    </row>
    <row r="1508" ht="14.25" customHeight="1">
      <c r="A1508" s="96" t="s">
        <v>4</v>
      </c>
      <c r="B1508" s="13" t="s">
        <v>334</v>
      </c>
      <c r="C1508" s="78"/>
      <c r="D1508" s="78"/>
      <c r="E1508" s="78"/>
      <c r="F1508" s="78"/>
    </row>
    <row r="1509" ht="14.25" customHeight="1">
      <c r="A1509" s="96" t="s">
        <v>5</v>
      </c>
      <c r="B1509" s="13">
        <v>63.0</v>
      </c>
      <c r="C1509" s="78"/>
      <c r="D1509" s="78"/>
      <c r="E1509" s="78"/>
      <c r="F1509" s="78"/>
    </row>
    <row r="1510" ht="14.25" customHeight="1">
      <c r="A1510" s="96" t="s">
        <v>6</v>
      </c>
      <c r="B1510" s="13" t="s">
        <v>338</v>
      </c>
      <c r="C1510" s="78"/>
      <c r="D1510" s="78"/>
      <c r="E1510" s="78"/>
      <c r="F1510" s="78"/>
    </row>
    <row r="1511" ht="14.25" customHeight="1">
      <c r="A1511" s="96" t="s">
        <v>7</v>
      </c>
      <c r="B1511" s="13" t="s">
        <v>337</v>
      </c>
      <c r="C1511" s="78"/>
      <c r="D1511" s="78"/>
      <c r="E1511" s="78"/>
      <c r="F1511" s="78"/>
    </row>
    <row r="1512" ht="14.25" customHeight="1">
      <c r="A1512" s="96" t="s">
        <v>9</v>
      </c>
      <c r="B1512" s="39">
        <v>0.08</v>
      </c>
      <c r="C1512" s="78"/>
      <c r="D1512" s="78"/>
      <c r="E1512" s="78"/>
      <c r="F1512" s="78"/>
    </row>
    <row r="1513" ht="14.25" customHeight="1">
      <c r="A1513" s="96" t="s">
        <v>18</v>
      </c>
      <c r="B1513" s="13">
        <v>12.84</v>
      </c>
      <c r="C1513" s="78"/>
      <c r="D1513" s="78"/>
      <c r="E1513" s="78"/>
      <c r="F1513" s="78"/>
    </row>
    <row r="1514" ht="14.25" customHeight="1">
      <c r="A1514" s="96" t="s">
        <v>22</v>
      </c>
      <c r="B1514" s="13" t="s">
        <v>337</v>
      </c>
      <c r="C1514" s="78"/>
      <c r="D1514" s="78"/>
      <c r="E1514" s="78"/>
      <c r="F1514" s="78"/>
    </row>
    <row r="1515" ht="14.25" customHeight="1">
      <c r="A1515" s="96" t="s">
        <v>29</v>
      </c>
      <c r="B1515" s="39">
        <v>0.0159</v>
      </c>
      <c r="C1515" s="78"/>
      <c r="D1515" s="78"/>
      <c r="E1515" s="78"/>
      <c r="F1515" s="78"/>
    </row>
    <row r="1516" ht="14.25" customHeight="1">
      <c r="A1516" s="80"/>
      <c r="B1516" s="142"/>
      <c r="C1516" s="78"/>
      <c r="D1516" s="78"/>
      <c r="E1516" s="78"/>
      <c r="F1516" s="78"/>
    </row>
    <row r="1517" ht="14.25" customHeight="1">
      <c r="A1517" s="80"/>
      <c r="B1517" s="142"/>
      <c r="C1517" s="78"/>
      <c r="D1517" s="78"/>
      <c r="E1517" s="78"/>
      <c r="F1517" s="78"/>
    </row>
    <row r="1518" ht="14.25" customHeight="1">
      <c r="A1518" s="77" t="s">
        <v>339</v>
      </c>
      <c r="B1518" s="143"/>
      <c r="C1518" s="78"/>
      <c r="D1518" s="78"/>
      <c r="E1518" s="78"/>
      <c r="F1518" s="78"/>
    </row>
    <row r="1519" ht="14.25" customHeight="1">
      <c r="A1519" s="79" t="s">
        <v>103</v>
      </c>
      <c r="B1519" s="79" t="s">
        <v>44</v>
      </c>
      <c r="C1519" s="79" t="s">
        <v>104</v>
      </c>
      <c r="D1519" s="79" t="s">
        <v>46</v>
      </c>
      <c r="E1519" s="79" t="s">
        <v>47</v>
      </c>
      <c r="F1519" s="79" t="s">
        <v>43</v>
      </c>
    </row>
    <row r="1520" ht="14.25" customHeight="1">
      <c r="A1520" s="80" t="s">
        <v>105</v>
      </c>
      <c r="B1520" s="80" t="s">
        <v>340</v>
      </c>
      <c r="C1520" s="80" t="s">
        <v>341</v>
      </c>
      <c r="D1520" s="81">
        <v>7393.0</v>
      </c>
      <c r="E1520" s="81">
        <v>6516.0</v>
      </c>
      <c r="F1520" s="81">
        <v>24.0</v>
      </c>
    </row>
    <row r="1521" ht="14.25" customHeight="1">
      <c r="A1521" s="80" t="s">
        <v>108</v>
      </c>
      <c r="B1521" s="80" t="s">
        <v>342</v>
      </c>
      <c r="C1521" s="80" t="s">
        <v>343</v>
      </c>
      <c r="D1521" s="81">
        <v>3460.0</v>
      </c>
      <c r="E1521" s="81">
        <v>3077.0</v>
      </c>
      <c r="F1521" s="81">
        <v>17.0</v>
      </c>
    </row>
    <row r="1522" ht="14.25" customHeight="1">
      <c r="A1522" s="80" t="s">
        <v>108</v>
      </c>
      <c r="B1522" s="80" t="s">
        <v>344</v>
      </c>
      <c r="C1522" s="80" t="s">
        <v>345</v>
      </c>
      <c r="D1522" s="81">
        <v>2290.0</v>
      </c>
      <c r="E1522" s="81">
        <v>2109.0</v>
      </c>
      <c r="F1522" s="81">
        <v>12.0</v>
      </c>
    </row>
    <row r="1523" ht="14.25" customHeight="1">
      <c r="A1523" s="144"/>
      <c r="B1523" s="83" t="s">
        <v>65</v>
      </c>
      <c r="C1523" s="83" t="s">
        <v>346</v>
      </c>
      <c r="D1523" s="78"/>
      <c r="E1523" s="78"/>
      <c r="F1523" s="83">
        <v>53.0</v>
      </c>
    </row>
    <row r="1524" ht="14.25" customHeight="1">
      <c r="A1524" s="144"/>
      <c r="B1524" s="143"/>
      <c r="C1524" s="78"/>
      <c r="D1524" s="78"/>
      <c r="E1524" s="78"/>
      <c r="F1524" s="78"/>
    </row>
    <row r="1525" ht="14.25" customHeight="1">
      <c r="A1525" s="84" t="s">
        <v>119</v>
      </c>
      <c r="B1525" s="143"/>
      <c r="C1525" s="78"/>
      <c r="D1525" s="78"/>
      <c r="E1525" s="78"/>
      <c r="F1525" s="78"/>
    </row>
    <row r="1526" ht="14.25" customHeight="1">
      <c r="A1526" s="79" t="s">
        <v>67</v>
      </c>
      <c r="B1526" s="79" t="s">
        <v>68</v>
      </c>
      <c r="C1526" s="78"/>
      <c r="D1526" s="78"/>
      <c r="E1526" s="78"/>
      <c r="F1526" s="78"/>
    </row>
    <row r="1527" ht="14.25" customHeight="1">
      <c r="A1527" s="80" t="s">
        <v>70</v>
      </c>
      <c r="B1527" s="81">
        <v>16.0</v>
      </c>
      <c r="C1527" s="78"/>
      <c r="D1527" s="78"/>
      <c r="E1527" s="78"/>
      <c r="F1527" s="78"/>
    </row>
    <row r="1528" ht="14.25" customHeight="1">
      <c r="A1528" s="80" t="s">
        <v>121</v>
      </c>
      <c r="B1528" s="81">
        <v>14.0</v>
      </c>
      <c r="C1528" s="78"/>
      <c r="D1528" s="78"/>
      <c r="E1528" s="78"/>
      <c r="F1528" s="78"/>
    </row>
    <row r="1529" ht="14.25" customHeight="1">
      <c r="A1529" s="80" t="s">
        <v>123</v>
      </c>
      <c r="B1529" s="81">
        <v>12.0</v>
      </c>
      <c r="C1529" s="78"/>
      <c r="D1529" s="78"/>
      <c r="E1529" s="78"/>
      <c r="F1529" s="78"/>
    </row>
    <row r="1530" ht="14.25" customHeight="1">
      <c r="A1530" s="80" t="s">
        <v>122</v>
      </c>
      <c r="B1530" s="81">
        <v>12.0</v>
      </c>
      <c r="C1530" s="78"/>
      <c r="D1530" s="78"/>
      <c r="E1530" s="78"/>
      <c r="F1530" s="78"/>
    </row>
    <row r="1531" ht="14.25" customHeight="1">
      <c r="A1531" s="80" t="s">
        <v>120</v>
      </c>
      <c r="B1531" s="81">
        <v>11.0</v>
      </c>
      <c r="C1531" s="78"/>
      <c r="D1531" s="78"/>
      <c r="E1531" s="78"/>
      <c r="F1531" s="78"/>
    </row>
    <row r="1532" ht="14.25" customHeight="1">
      <c r="A1532" s="144"/>
      <c r="B1532" s="83">
        <v>65.0</v>
      </c>
      <c r="C1532" s="78"/>
      <c r="D1532" s="78"/>
      <c r="E1532" s="78"/>
      <c r="F1532" s="78"/>
    </row>
    <row r="1533" ht="14.25" customHeight="1">
      <c r="A1533" s="144"/>
      <c r="B1533" s="143"/>
      <c r="C1533" s="78"/>
      <c r="D1533" s="78"/>
      <c r="E1533" s="78"/>
      <c r="F1533" s="78"/>
    </row>
    <row r="1534" ht="14.25" customHeight="1">
      <c r="A1534" s="84" t="s">
        <v>124</v>
      </c>
      <c r="B1534" s="143"/>
      <c r="C1534" s="78"/>
      <c r="D1534" s="78"/>
      <c r="E1534" s="78"/>
      <c r="F1534" s="78"/>
    </row>
    <row r="1535" ht="14.25" customHeight="1">
      <c r="A1535" s="79" t="s">
        <v>67</v>
      </c>
      <c r="B1535" s="79" t="s">
        <v>73</v>
      </c>
      <c r="C1535" s="79" t="s">
        <v>74</v>
      </c>
      <c r="D1535" s="79" t="s">
        <v>75</v>
      </c>
      <c r="E1535" s="79" t="s">
        <v>68</v>
      </c>
      <c r="F1535" s="78"/>
    </row>
    <row r="1536" ht="14.25" customHeight="1">
      <c r="A1536" s="80" t="s">
        <v>123</v>
      </c>
      <c r="B1536" s="81">
        <v>110.0</v>
      </c>
      <c r="C1536" s="81">
        <v>0.0</v>
      </c>
      <c r="D1536" s="81">
        <v>2.0</v>
      </c>
      <c r="E1536" s="81">
        <v>112.0</v>
      </c>
      <c r="F1536" s="78"/>
    </row>
    <row r="1537" ht="14.25" customHeight="1">
      <c r="A1537" s="80" t="s">
        <v>70</v>
      </c>
      <c r="B1537" s="81">
        <v>50.0</v>
      </c>
      <c r="C1537" s="81">
        <v>0.0</v>
      </c>
      <c r="D1537" s="81">
        <v>0.0</v>
      </c>
      <c r="E1537" s="81">
        <v>50.0</v>
      </c>
      <c r="F1537" s="78"/>
    </row>
    <row r="1538" ht="14.25" customHeight="1">
      <c r="A1538" s="80" t="s">
        <v>130</v>
      </c>
      <c r="B1538" s="81">
        <v>29.0</v>
      </c>
      <c r="C1538" s="81">
        <v>0.0</v>
      </c>
      <c r="D1538" s="81">
        <v>0.0</v>
      </c>
      <c r="E1538" s="81">
        <v>29.0</v>
      </c>
      <c r="F1538" s="78"/>
    </row>
    <row r="1539" ht="14.25" customHeight="1">
      <c r="A1539" s="80" t="s">
        <v>120</v>
      </c>
      <c r="B1539" s="81">
        <v>15.0</v>
      </c>
      <c r="C1539" s="81">
        <v>0.0</v>
      </c>
      <c r="D1539" s="81">
        <v>0.0</v>
      </c>
      <c r="E1539" s="81">
        <v>15.0</v>
      </c>
      <c r="F1539" s="78"/>
    </row>
    <row r="1540" ht="14.25" customHeight="1">
      <c r="A1540" s="80" t="s">
        <v>122</v>
      </c>
      <c r="B1540" s="81">
        <v>7.0</v>
      </c>
      <c r="C1540" s="81">
        <v>0.0</v>
      </c>
      <c r="D1540" s="81">
        <v>0.0</v>
      </c>
      <c r="E1540" s="81">
        <v>7.0</v>
      </c>
      <c r="F1540" s="78"/>
    </row>
    <row r="1541" ht="14.25" customHeight="1">
      <c r="A1541" s="144"/>
      <c r="B1541" s="143"/>
      <c r="C1541" s="78"/>
      <c r="D1541" s="78"/>
      <c r="E1541" s="78"/>
      <c r="F1541" s="78"/>
    </row>
    <row r="1542" ht="14.25" customHeight="1">
      <c r="A1542" s="84" t="s">
        <v>77</v>
      </c>
      <c r="B1542" s="143"/>
      <c r="C1542" s="78"/>
      <c r="D1542" s="78"/>
      <c r="E1542" s="78"/>
      <c r="F1542" s="78"/>
    </row>
    <row r="1543" ht="14.25" customHeight="1">
      <c r="A1543" s="86" t="s">
        <v>79</v>
      </c>
      <c r="B1543" s="86" t="s">
        <v>5</v>
      </c>
      <c r="C1543" s="78"/>
      <c r="D1543" s="78"/>
      <c r="E1543" s="78"/>
      <c r="F1543" s="78"/>
    </row>
    <row r="1544" ht="14.25" customHeight="1">
      <c r="A1544" s="87" t="s">
        <v>88</v>
      </c>
      <c r="B1544" s="88">
        <v>42.0</v>
      </c>
      <c r="C1544" s="78"/>
      <c r="D1544" s="78"/>
      <c r="E1544" s="78"/>
      <c r="F1544" s="78"/>
    </row>
    <row r="1545" ht="14.25" customHeight="1">
      <c r="A1545" s="87" t="s">
        <v>83</v>
      </c>
      <c r="B1545" s="88">
        <v>21.0</v>
      </c>
      <c r="C1545" s="78"/>
      <c r="D1545" s="78"/>
      <c r="E1545" s="78"/>
      <c r="F1545" s="78"/>
    </row>
    <row r="1546" ht="14.25" customHeight="1">
      <c r="A1546" s="87" t="s">
        <v>126</v>
      </c>
      <c r="B1546" s="88">
        <v>2.0</v>
      </c>
      <c r="C1546" s="78"/>
      <c r="D1546" s="78"/>
      <c r="E1546" s="78"/>
      <c r="F1546" s="78"/>
    </row>
    <row r="1547" ht="14.25" customHeight="1">
      <c r="A1547" s="87" t="s">
        <v>84</v>
      </c>
      <c r="B1547" s="88">
        <v>1.0</v>
      </c>
      <c r="C1547" s="78"/>
      <c r="D1547" s="78"/>
      <c r="E1547" s="78"/>
      <c r="F1547" s="78"/>
    </row>
    <row r="1548" ht="14.25" customHeight="1">
      <c r="A1548" s="87" t="s">
        <v>174</v>
      </c>
      <c r="B1548" s="88">
        <v>1.0</v>
      </c>
      <c r="C1548" s="78"/>
      <c r="D1548" s="78"/>
      <c r="E1548" s="78"/>
      <c r="F1548" s="78"/>
    </row>
    <row r="1549" ht="14.25" customHeight="1">
      <c r="A1549" s="87" t="s">
        <v>86</v>
      </c>
      <c r="B1549" s="88">
        <v>1.0</v>
      </c>
      <c r="C1549" s="78"/>
      <c r="D1549" s="78"/>
      <c r="E1549" s="78"/>
      <c r="F1549" s="78"/>
    </row>
    <row r="1550" ht="14.25" customHeight="1">
      <c r="A1550" s="144"/>
      <c r="B1550" s="143"/>
      <c r="C1550" s="78"/>
      <c r="D1550" s="78"/>
      <c r="E1550" s="78"/>
      <c r="F1550" s="78"/>
    </row>
    <row r="1551" ht="14.25" customHeight="1">
      <c r="A1551" s="89" t="s">
        <v>127</v>
      </c>
      <c r="B1551" s="90" t="s">
        <v>128</v>
      </c>
      <c r="C1551" s="78"/>
      <c r="D1551" s="78"/>
      <c r="E1551" s="78"/>
      <c r="F1551" s="78"/>
    </row>
    <row r="1552" ht="14.25" customHeight="1">
      <c r="A1552" s="89" t="s">
        <v>129</v>
      </c>
      <c r="B1552" s="90" t="s">
        <v>54</v>
      </c>
      <c r="C1552" s="78"/>
      <c r="D1552" s="78"/>
      <c r="E1552" s="78"/>
      <c r="F1552" s="78"/>
    </row>
    <row r="1553" ht="14.25" customHeight="1">
      <c r="A1553" s="89" t="s">
        <v>131</v>
      </c>
      <c r="B1553" s="90" t="s">
        <v>128</v>
      </c>
      <c r="C1553" s="78"/>
      <c r="D1553" s="78"/>
      <c r="E1553" s="78"/>
      <c r="F1553" s="78"/>
    </row>
    <row r="1554" ht="14.25" customHeight="1">
      <c r="A1554" s="89" t="s">
        <v>132</v>
      </c>
      <c r="B1554" s="90" t="s">
        <v>54</v>
      </c>
      <c r="C1554" s="78"/>
      <c r="D1554" s="78"/>
      <c r="E1554" s="78"/>
      <c r="F1554" s="78"/>
    </row>
    <row r="1555" ht="14.25" customHeight="1">
      <c r="A1555" s="144"/>
      <c r="B1555" s="153"/>
      <c r="C1555" s="78"/>
      <c r="D1555" s="78"/>
      <c r="E1555" s="78"/>
      <c r="F1555" s="78"/>
    </row>
    <row r="1556" ht="14.25" customHeight="1">
      <c r="A1556" s="93" t="s">
        <v>7</v>
      </c>
      <c r="B1556" s="94" t="s">
        <v>53</v>
      </c>
      <c r="C1556" s="95">
        <v>1.0</v>
      </c>
      <c r="D1556" s="78"/>
      <c r="E1556" s="78"/>
      <c r="F1556" s="78"/>
    </row>
    <row r="1557" ht="14.25" customHeight="1">
      <c r="A1557" s="144"/>
      <c r="B1557" s="143"/>
      <c r="C1557" s="78"/>
      <c r="D1557" s="78"/>
      <c r="E1557" s="78"/>
      <c r="F1557" s="78"/>
    </row>
    <row r="1558" ht="14.25" customHeight="1">
      <c r="A1558" s="66" t="s">
        <v>1</v>
      </c>
      <c r="B1558" s="44">
        <v>46231.0</v>
      </c>
      <c r="C1558" s="78"/>
      <c r="D1558" s="78"/>
      <c r="E1558" s="78"/>
      <c r="F1558" s="78"/>
    </row>
    <row r="1559" ht="14.25" customHeight="1">
      <c r="A1559" s="96" t="s">
        <v>4</v>
      </c>
      <c r="B1559" s="13" t="s">
        <v>346</v>
      </c>
      <c r="C1559" s="78"/>
      <c r="D1559" s="78"/>
      <c r="E1559" s="78"/>
      <c r="F1559" s="78"/>
    </row>
    <row r="1560" ht="14.25" customHeight="1">
      <c r="A1560" s="96" t="s">
        <v>5</v>
      </c>
      <c r="B1560" s="13">
        <v>53.0</v>
      </c>
      <c r="C1560" s="78"/>
      <c r="D1560" s="78"/>
      <c r="E1560" s="78"/>
      <c r="F1560" s="78"/>
    </row>
    <row r="1561" ht="14.25" customHeight="1">
      <c r="A1561" s="96" t="s">
        <v>6</v>
      </c>
      <c r="B1561" s="13" t="s">
        <v>347</v>
      </c>
      <c r="C1561" s="78"/>
      <c r="D1561" s="78"/>
      <c r="E1561" s="78"/>
      <c r="F1561" s="78"/>
    </row>
    <row r="1562" ht="14.25" customHeight="1">
      <c r="A1562" s="96" t="s">
        <v>7</v>
      </c>
      <c r="B1562" s="13" t="s">
        <v>53</v>
      </c>
      <c r="C1562" s="78"/>
      <c r="D1562" s="78"/>
      <c r="E1562" s="78"/>
      <c r="F1562" s="78"/>
    </row>
    <row r="1563" ht="14.25" customHeight="1">
      <c r="A1563" s="96" t="s">
        <v>9</v>
      </c>
      <c r="B1563" s="39">
        <v>0.23</v>
      </c>
      <c r="C1563" s="78"/>
      <c r="D1563" s="78"/>
      <c r="E1563" s="78"/>
      <c r="F1563" s="78"/>
    </row>
    <row r="1564" ht="14.25" customHeight="1">
      <c r="A1564" s="96" t="s">
        <v>18</v>
      </c>
      <c r="B1564" s="13">
        <v>4.43</v>
      </c>
      <c r="C1564" s="78"/>
      <c r="D1564" s="78"/>
      <c r="E1564" s="78"/>
      <c r="F1564" s="78"/>
    </row>
    <row r="1565" ht="14.25" customHeight="1">
      <c r="A1565" s="96" t="s">
        <v>22</v>
      </c>
      <c r="B1565" s="13" t="s">
        <v>53</v>
      </c>
      <c r="C1565" s="78"/>
      <c r="D1565" s="78"/>
      <c r="E1565" s="78"/>
      <c r="F1565" s="78"/>
    </row>
    <row r="1566" ht="14.25" customHeight="1">
      <c r="A1566" s="96" t="s">
        <v>29</v>
      </c>
      <c r="B1566" s="39">
        <v>0.0189</v>
      </c>
      <c r="C1566" s="78"/>
      <c r="D1566" s="78"/>
      <c r="E1566" s="78"/>
      <c r="F1566" s="78"/>
    </row>
    <row r="1567" ht="14.25" customHeight="1">
      <c r="A1567" s="80"/>
      <c r="B1567" s="142"/>
      <c r="C1567" s="78"/>
      <c r="D1567" s="78"/>
      <c r="E1567" s="78"/>
      <c r="F1567" s="78"/>
    </row>
    <row r="1568" ht="14.25" customHeight="1">
      <c r="A1568" s="80"/>
      <c r="B1568" s="142"/>
      <c r="C1568" s="78"/>
      <c r="D1568" s="78"/>
      <c r="E1568" s="78"/>
      <c r="F1568" s="78"/>
    </row>
    <row r="1569" ht="14.25" customHeight="1">
      <c r="A1569" s="77" t="s">
        <v>348</v>
      </c>
      <c r="B1569" s="146"/>
      <c r="C1569" s="76"/>
      <c r="D1569" s="76"/>
      <c r="E1569" s="76"/>
      <c r="F1569" s="76"/>
    </row>
    <row r="1570" ht="14.25" customHeight="1">
      <c r="A1570" s="147" t="s">
        <v>103</v>
      </c>
      <c r="B1570" s="147" t="s">
        <v>44</v>
      </c>
      <c r="C1570" s="147" t="s">
        <v>104</v>
      </c>
      <c r="D1570" s="147" t="s">
        <v>46</v>
      </c>
      <c r="E1570" s="147" t="s">
        <v>47</v>
      </c>
      <c r="F1570" s="147" t="s">
        <v>43</v>
      </c>
    </row>
    <row r="1571" ht="14.25" customHeight="1">
      <c r="A1571" s="148" t="s">
        <v>276</v>
      </c>
      <c r="B1571" s="148" t="s">
        <v>349</v>
      </c>
      <c r="C1571" s="148" t="s">
        <v>350</v>
      </c>
      <c r="D1571" s="149">
        <v>348.0</v>
      </c>
      <c r="E1571" s="149">
        <v>342.0</v>
      </c>
      <c r="F1571" s="149">
        <v>2.0</v>
      </c>
    </row>
    <row r="1572" ht="14.25" customHeight="1">
      <c r="A1572" s="148" t="s">
        <v>105</v>
      </c>
      <c r="B1572" s="148" t="s">
        <v>351</v>
      </c>
      <c r="C1572" s="148" t="s">
        <v>352</v>
      </c>
      <c r="D1572" s="149">
        <v>4326.0</v>
      </c>
      <c r="E1572" s="149">
        <v>3828.0</v>
      </c>
      <c r="F1572" s="149">
        <v>12.0</v>
      </c>
    </row>
    <row r="1573" ht="14.25" customHeight="1">
      <c r="A1573" s="148" t="s">
        <v>108</v>
      </c>
      <c r="B1573" s="148" t="s">
        <v>353</v>
      </c>
      <c r="C1573" s="148" t="s">
        <v>354</v>
      </c>
      <c r="D1573" s="149">
        <v>1852.0</v>
      </c>
      <c r="E1573" s="149">
        <v>1772.0</v>
      </c>
      <c r="F1573" s="149">
        <v>11.0</v>
      </c>
    </row>
    <row r="1574" ht="14.25" customHeight="1">
      <c r="A1574" s="148" t="s">
        <v>108</v>
      </c>
      <c r="B1574" s="148" t="s">
        <v>355</v>
      </c>
      <c r="C1574" s="148" t="s">
        <v>356</v>
      </c>
      <c r="D1574" s="149">
        <v>1102.0</v>
      </c>
      <c r="E1574" s="149">
        <v>1010.0</v>
      </c>
      <c r="F1574" s="149">
        <v>8.0</v>
      </c>
    </row>
    <row r="1575" ht="14.25" customHeight="1">
      <c r="A1575" s="148" t="s">
        <v>357</v>
      </c>
      <c r="B1575" s="148" t="s">
        <v>358</v>
      </c>
      <c r="C1575" s="148" t="s">
        <v>358</v>
      </c>
      <c r="D1575" s="149">
        <v>487.0</v>
      </c>
      <c r="E1575" s="149">
        <v>445.0</v>
      </c>
      <c r="F1575" s="149">
        <v>1.0</v>
      </c>
    </row>
    <row r="1576" ht="14.25" customHeight="1">
      <c r="A1576" s="150"/>
      <c r="B1576" s="83" t="s">
        <v>65</v>
      </c>
      <c r="C1576" s="83" t="s">
        <v>359</v>
      </c>
      <c r="D1576" s="76"/>
      <c r="E1576" s="76"/>
      <c r="F1576" s="83">
        <v>34.0</v>
      </c>
    </row>
    <row r="1577" ht="14.25" customHeight="1">
      <c r="A1577" s="150"/>
      <c r="B1577" s="146"/>
      <c r="C1577" s="76"/>
      <c r="D1577" s="76"/>
      <c r="E1577" s="76"/>
      <c r="F1577" s="76"/>
    </row>
    <row r="1578" ht="14.25" customHeight="1">
      <c r="A1578" s="84" t="s">
        <v>119</v>
      </c>
      <c r="B1578" s="146"/>
      <c r="C1578" s="76"/>
      <c r="D1578" s="76"/>
      <c r="E1578" s="76"/>
      <c r="F1578" s="76"/>
    </row>
    <row r="1579" ht="14.25" customHeight="1">
      <c r="A1579" s="79" t="s">
        <v>67</v>
      </c>
      <c r="B1579" s="79" t="s">
        <v>68</v>
      </c>
      <c r="C1579" s="76"/>
      <c r="D1579" s="76"/>
      <c r="E1579" s="76"/>
      <c r="F1579" s="76"/>
    </row>
    <row r="1580" ht="14.25" customHeight="1">
      <c r="A1580" s="148" t="s">
        <v>70</v>
      </c>
      <c r="B1580" s="149">
        <v>20.0</v>
      </c>
      <c r="C1580" s="76"/>
      <c r="D1580" s="76"/>
      <c r="E1580" s="76"/>
      <c r="F1580" s="76"/>
    </row>
    <row r="1581" ht="14.25" customHeight="1">
      <c r="A1581" s="148" t="s">
        <v>123</v>
      </c>
      <c r="B1581" s="149">
        <v>13.0</v>
      </c>
      <c r="C1581" s="76"/>
      <c r="D1581" s="76"/>
      <c r="E1581" s="76"/>
      <c r="F1581" s="76"/>
    </row>
    <row r="1582" ht="14.25" customHeight="1">
      <c r="A1582" s="148" t="s">
        <v>121</v>
      </c>
      <c r="B1582" s="149">
        <v>13.0</v>
      </c>
      <c r="C1582" s="76"/>
      <c r="D1582" s="76"/>
      <c r="E1582" s="76"/>
      <c r="F1582" s="76"/>
    </row>
    <row r="1583" ht="14.25" customHeight="1">
      <c r="A1583" s="148" t="s">
        <v>122</v>
      </c>
      <c r="B1583" s="149">
        <v>11.0</v>
      </c>
      <c r="C1583" s="76"/>
      <c r="D1583" s="76"/>
      <c r="E1583" s="76"/>
      <c r="F1583" s="76"/>
    </row>
    <row r="1584" ht="14.25" customHeight="1">
      <c r="A1584" s="148" t="s">
        <v>120</v>
      </c>
      <c r="B1584" s="149">
        <v>10.0</v>
      </c>
      <c r="C1584" s="76"/>
      <c r="D1584" s="76"/>
      <c r="E1584" s="76"/>
      <c r="F1584" s="76"/>
    </row>
    <row r="1585" ht="14.25" customHeight="1">
      <c r="A1585" s="150"/>
      <c r="B1585" s="83">
        <v>67.0</v>
      </c>
      <c r="C1585" s="76"/>
      <c r="D1585" s="76"/>
      <c r="E1585" s="76"/>
      <c r="F1585" s="76"/>
    </row>
    <row r="1586" ht="14.25" customHeight="1">
      <c r="A1586" s="150"/>
      <c r="B1586" s="146"/>
      <c r="C1586" s="76"/>
      <c r="D1586" s="76"/>
      <c r="E1586" s="76"/>
      <c r="F1586" s="76"/>
    </row>
    <row r="1587" ht="14.25" customHeight="1">
      <c r="A1587" s="84" t="s">
        <v>124</v>
      </c>
      <c r="B1587" s="146"/>
      <c r="C1587" s="76"/>
      <c r="D1587" s="76"/>
      <c r="E1587" s="76"/>
      <c r="F1587" s="76"/>
    </row>
    <row r="1588" ht="14.25" customHeight="1">
      <c r="A1588" s="79" t="s">
        <v>67</v>
      </c>
      <c r="B1588" s="79" t="s">
        <v>73</v>
      </c>
      <c r="C1588" s="79" t="s">
        <v>74</v>
      </c>
      <c r="D1588" s="79" t="s">
        <v>75</v>
      </c>
      <c r="E1588" s="79" t="s">
        <v>68</v>
      </c>
      <c r="F1588" s="76"/>
    </row>
    <row r="1589" ht="14.25" customHeight="1">
      <c r="A1589" s="148" t="s">
        <v>123</v>
      </c>
      <c r="B1589" s="149">
        <v>121.0</v>
      </c>
      <c r="C1589" s="149">
        <v>0.0</v>
      </c>
      <c r="D1589" s="149">
        <v>6.0</v>
      </c>
      <c r="E1589" s="149">
        <v>127.0</v>
      </c>
      <c r="F1589" s="76"/>
    </row>
    <row r="1590" ht="14.25" customHeight="1">
      <c r="A1590" s="148" t="s">
        <v>70</v>
      </c>
      <c r="B1590" s="149">
        <v>103.0</v>
      </c>
      <c r="C1590" s="149">
        <v>0.0</v>
      </c>
      <c r="D1590" s="149">
        <v>1.0</v>
      </c>
      <c r="E1590" s="149">
        <v>104.0</v>
      </c>
      <c r="F1590" s="76"/>
    </row>
    <row r="1591" ht="14.25" customHeight="1">
      <c r="A1591" s="148" t="s">
        <v>130</v>
      </c>
      <c r="B1591" s="149">
        <v>23.0</v>
      </c>
      <c r="C1591" s="149">
        <v>0.0</v>
      </c>
      <c r="D1591" s="149">
        <v>0.0</v>
      </c>
      <c r="E1591" s="149">
        <v>23.0</v>
      </c>
      <c r="F1591" s="76"/>
    </row>
    <row r="1592" ht="14.25" customHeight="1">
      <c r="A1592" s="148" t="s">
        <v>125</v>
      </c>
      <c r="B1592" s="149">
        <v>5.0</v>
      </c>
      <c r="C1592" s="149">
        <v>0.0</v>
      </c>
      <c r="D1592" s="149">
        <v>0.0</v>
      </c>
      <c r="E1592" s="149">
        <v>5.0</v>
      </c>
      <c r="F1592" s="76"/>
    </row>
    <row r="1593" ht="14.25" customHeight="1">
      <c r="A1593" s="148" t="s">
        <v>120</v>
      </c>
      <c r="B1593" s="149">
        <v>4.0</v>
      </c>
      <c r="C1593" s="149">
        <v>0.0</v>
      </c>
      <c r="D1593" s="149">
        <v>0.0</v>
      </c>
      <c r="E1593" s="149">
        <v>4.0</v>
      </c>
      <c r="F1593" s="76"/>
    </row>
    <row r="1594" ht="14.25" customHeight="1">
      <c r="A1594" s="148" t="s">
        <v>122</v>
      </c>
      <c r="B1594" s="149">
        <v>0.0</v>
      </c>
      <c r="C1594" s="149">
        <v>0.0</v>
      </c>
      <c r="D1594" s="149">
        <v>1.0</v>
      </c>
      <c r="E1594" s="149">
        <v>1.0</v>
      </c>
      <c r="F1594" s="76"/>
    </row>
    <row r="1595" ht="14.25" customHeight="1">
      <c r="A1595" s="150"/>
      <c r="B1595" s="146"/>
      <c r="C1595" s="76"/>
      <c r="D1595" s="76"/>
      <c r="E1595" s="76"/>
      <c r="F1595" s="76"/>
    </row>
    <row r="1596" ht="14.25" customHeight="1">
      <c r="A1596" s="84" t="s">
        <v>77</v>
      </c>
      <c r="B1596" s="143"/>
      <c r="C1596" s="76"/>
      <c r="D1596" s="76"/>
      <c r="E1596" s="76"/>
      <c r="F1596" s="76"/>
    </row>
    <row r="1597" ht="14.25" customHeight="1">
      <c r="A1597" s="86" t="s">
        <v>79</v>
      </c>
      <c r="B1597" s="86" t="s">
        <v>5</v>
      </c>
      <c r="C1597" s="76"/>
      <c r="D1597" s="76"/>
      <c r="E1597" s="76"/>
      <c r="F1597" s="76"/>
    </row>
    <row r="1598" ht="14.25" customHeight="1">
      <c r="A1598" s="148" t="s">
        <v>88</v>
      </c>
      <c r="B1598" s="149">
        <v>20.0</v>
      </c>
      <c r="C1598" s="76"/>
      <c r="D1598" s="76"/>
      <c r="E1598" s="76"/>
      <c r="F1598" s="76"/>
    </row>
    <row r="1599" ht="14.25" customHeight="1">
      <c r="A1599" s="148" t="s">
        <v>83</v>
      </c>
      <c r="B1599" s="149">
        <v>15.0</v>
      </c>
      <c r="C1599" s="76"/>
      <c r="D1599" s="76"/>
      <c r="E1599" s="76"/>
      <c r="F1599" s="76"/>
    </row>
    <row r="1600" ht="14.25" customHeight="1">
      <c r="A1600" s="148" t="s">
        <v>126</v>
      </c>
      <c r="B1600" s="149">
        <v>7.0</v>
      </c>
      <c r="C1600" s="76"/>
      <c r="D1600" s="76"/>
      <c r="E1600" s="76"/>
      <c r="F1600" s="76"/>
    </row>
    <row r="1601" ht="14.25" customHeight="1">
      <c r="A1601" s="148" t="s">
        <v>134</v>
      </c>
      <c r="B1601" s="149">
        <v>1.0</v>
      </c>
      <c r="C1601" s="76"/>
      <c r="D1601" s="76"/>
      <c r="E1601" s="76"/>
      <c r="F1601" s="76"/>
    </row>
    <row r="1602" ht="14.25" customHeight="1">
      <c r="A1602" s="148" t="s">
        <v>86</v>
      </c>
      <c r="B1602" s="149">
        <v>1.0</v>
      </c>
      <c r="C1602" s="76"/>
      <c r="D1602" s="76"/>
      <c r="E1602" s="76"/>
      <c r="F1602" s="76"/>
    </row>
    <row r="1603" ht="14.25" customHeight="1">
      <c r="A1603" s="150"/>
      <c r="B1603" s="146"/>
      <c r="C1603" s="76"/>
      <c r="D1603" s="76"/>
      <c r="E1603" s="76"/>
      <c r="F1603" s="76"/>
    </row>
    <row r="1604" ht="14.25" customHeight="1">
      <c r="A1604" s="89" t="s">
        <v>127</v>
      </c>
      <c r="B1604" s="90" t="s">
        <v>360</v>
      </c>
      <c r="C1604" s="78"/>
      <c r="D1604" s="76"/>
      <c r="E1604" s="76"/>
      <c r="F1604" s="76"/>
    </row>
    <row r="1605" ht="14.25" customHeight="1">
      <c r="A1605" s="89" t="s">
        <v>129</v>
      </c>
      <c r="B1605" s="90" t="s">
        <v>54</v>
      </c>
      <c r="C1605" s="78"/>
      <c r="D1605" s="76"/>
      <c r="E1605" s="76"/>
      <c r="F1605" s="76"/>
    </row>
    <row r="1606" ht="14.25" customHeight="1">
      <c r="A1606" s="89" t="s">
        <v>131</v>
      </c>
      <c r="B1606" s="90" t="s">
        <v>55</v>
      </c>
      <c r="C1606" s="78"/>
      <c r="D1606" s="76"/>
      <c r="E1606" s="76"/>
      <c r="F1606" s="76"/>
    </row>
    <row r="1607" ht="14.25" customHeight="1">
      <c r="A1607" s="89" t="s">
        <v>132</v>
      </c>
      <c r="B1607" s="90" t="s">
        <v>54</v>
      </c>
      <c r="C1607" s="78"/>
      <c r="D1607" s="76"/>
      <c r="E1607" s="76"/>
      <c r="F1607" s="76"/>
    </row>
    <row r="1608" ht="14.25" customHeight="1">
      <c r="A1608" s="144"/>
      <c r="B1608" s="153"/>
      <c r="C1608" s="78"/>
      <c r="D1608" s="76"/>
      <c r="E1608" s="76"/>
      <c r="F1608" s="76"/>
    </row>
    <row r="1609" ht="14.25" customHeight="1">
      <c r="A1609" s="93" t="s">
        <v>7</v>
      </c>
      <c r="B1609" s="94" t="s">
        <v>361</v>
      </c>
      <c r="C1609" s="95">
        <v>1.0</v>
      </c>
      <c r="D1609" s="76"/>
      <c r="E1609" s="76"/>
      <c r="F1609" s="76"/>
    </row>
    <row r="1610" ht="14.25" customHeight="1">
      <c r="A1610" s="144"/>
      <c r="B1610" s="143"/>
      <c r="C1610" s="78"/>
      <c r="D1610" s="76"/>
      <c r="E1610" s="76"/>
      <c r="F1610" s="76"/>
    </row>
    <row r="1611" ht="14.25" customHeight="1">
      <c r="A1611" s="66" t="s">
        <v>1</v>
      </c>
      <c r="B1611" s="44">
        <v>46232.0</v>
      </c>
      <c r="C1611" s="78"/>
      <c r="D1611" s="76"/>
      <c r="E1611" s="76"/>
      <c r="F1611" s="76"/>
    </row>
    <row r="1612" ht="14.25" customHeight="1">
      <c r="A1612" s="96" t="s">
        <v>4</v>
      </c>
      <c r="B1612" s="13" t="s">
        <v>359</v>
      </c>
      <c r="C1612" s="78"/>
      <c r="D1612" s="76"/>
      <c r="E1612" s="76"/>
      <c r="F1612" s="76"/>
    </row>
    <row r="1613" ht="14.25" customHeight="1">
      <c r="A1613" s="96" t="s">
        <v>5</v>
      </c>
      <c r="B1613" s="13">
        <v>34.0</v>
      </c>
      <c r="C1613" s="78"/>
      <c r="D1613" s="76"/>
      <c r="E1613" s="76"/>
      <c r="F1613" s="76"/>
    </row>
    <row r="1614" ht="14.25" customHeight="1">
      <c r="A1614" s="96" t="s">
        <v>6</v>
      </c>
      <c r="B1614" s="13" t="s">
        <v>362</v>
      </c>
      <c r="C1614" s="78"/>
      <c r="D1614" s="76"/>
      <c r="E1614" s="76"/>
      <c r="F1614" s="76"/>
    </row>
    <row r="1615" ht="14.25" customHeight="1">
      <c r="A1615" s="96" t="s">
        <v>7</v>
      </c>
      <c r="B1615" s="13" t="s">
        <v>361</v>
      </c>
      <c r="C1615" s="78"/>
      <c r="D1615" s="76"/>
      <c r="E1615" s="76"/>
      <c r="F1615" s="76"/>
    </row>
    <row r="1616" ht="14.25" customHeight="1">
      <c r="A1616" s="96" t="s">
        <v>9</v>
      </c>
      <c r="B1616" s="39">
        <v>0.05</v>
      </c>
      <c r="C1616" s="78"/>
      <c r="D1616" s="76"/>
      <c r="E1616" s="76"/>
      <c r="F1616" s="76"/>
    </row>
    <row r="1617" ht="14.25" customHeight="1">
      <c r="A1617" s="96" t="s">
        <v>18</v>
      </c>
      <c r="B1617" s="13">
        <v>20.99</v>
      </c>
      <c r="C1617" s="78"/>
      <c r="D1617" s="76"/>
      <c r="E1617" s="76"/>
      <c r="F1617" s="76"/>
    </row>
    <row r="1618" ht="14.25" customHeight="1">
      <c r="A1618" s="96" t="s">
        <v>22</v>
      </c>
      <c r="B1618" s="13" t="s">
        <v>361</v>
      </c>
      <c r="C1618" s="78"/>
      <c r="D1618" s="76"/>
      <c r="E1618" s="76"/>
      <c r="F1618" s="76"/>
    </row>
    <row r="1619" ht="14.25" customHeight="1">
      <c r="A1619" s="96" t="s">
        <v>29</v>
      </c>
      <c r="B1619" s="39">
        <v>0.0294</v>
      </c>
      <c r="C1619" s="78"/>
      <c r="D1619" s="76"/>
      <c r="E1619" s="76"/>
      <c r="F1619" s="76"/>
    </row>
    <row r="1620" ht="14.25" customHeight="1">
      <c r="A1620" s="80"/>
      <c r="B1620" s="142"/>
      <c r="C1620" s="78"/>
      <c r="D1620" s="78"/>
      <c r="E1620" s="78"/>
      <c r="F1620" s="78"/>
    </row>
    <row r="1621" ht="14.25" customHeight="1">
      <c r="A1621" s="80"/>
      <c r="B1621" s="142"/>
      <c r="C1621" s="78"/>
      <c r="D1621" s="78"/>
      <c r="E1621" s="78"/>
      <c r="F1621" s="78"/>
    </row>
    <row r="1622" ht="14.25" customHeight="1">
      <c r="A1622" s="77" t="s">
        <v>363</v>
      </c>
      <c r="B1622" s="143"/>
      <c r="C1622" s="78"/>
      <c r="D1622" s="78"/>
      <c r="E1622" s="78"/>
      <c r="F1622" s="78"/>
    </row>
    <row r="1623" ht="14.25" customHeight="1">
      <c r="A1623" s="79" t="s">
        <v>103</v>
      </c>
      <c r="B1623" s="79" t="s">
        <v>44</v>
      </c>
      <c r="C1623" s="79" t="s">
        <v>104</v>
      </c>
      <c r="D1623" s="79" t="s">
        <v>46</v>
      </c>
      <c r="E1623" s="79" t="s">
        <v>47</v>
      </c>
      <c r="F1623" s="79" t="s">
        <v>43</v>
      </c>
    </row>
    <row r="1624" ht="14.25" customHeight="1">
      <c r="A1624" s="80" t="s">
        <v>105</v>
      </c>
      <c r="B1624" s="80" t="s">
        <v>364</v>
      </c>
      <c r="C1624" s="80" t="s">
        <v>365</v>
      </c>
      <c r="D1624" s="81">
        <v>4462.0</v>
      </c>
      <c r="E1624" s="81">
        <v>4322.0</v>
      </c>
      <c r="F1624" s="81">
        <v>3.0</v>
      </c>
    </row>
    <row r="1625" ht="14.25" customHeight="1">
      <c r="A1625" s="80" t="s">
        <v>108</v>
      </c>
      <c r="B1625" s="80" t="s">
        <v>366</v>
      </c>
      <c r="C1625" s="80" t="s">
        <v>367</v>
      </c>
      <c r="D1625" s="81">
        <v>928.0</v>
      </c>
      <c r="E1625" s="81">
        <v>878.0</v>
      </c>
      <c r="F1625" s="81">
        <v>3.0</v>
      </c>
    </row>
    <row r="1626" ht="14.25" customHeight="1">
      <c r="A1626" s="80" t="s">
        <v>108</v>
      </c>
      <c r="B1626" s="80" t="s">
        <v>368</v>
      </c>
      <c r="C1626" s="80" t="s">
        <v>369</v>
      </c>
      <c r="D1626" s="81">
        <v>1301.0</v>
      </c>
      <c r="E1626" s="81">
        <v>1254.0</v>
      </c>
      <c r="F1626" s="81">
        <v>3.0</v>
      </c>
    </row>
    <row r="1627" ht="14.25" customHeight="1">
      <c r="A1627" s="80" t="s">
        <v>357</v>
      </c>
      <c r="B1627" s="80" t="s">
        <v>370</v>
      </c>
      <c r="C1627" s="80" t="s">
        <v>371</v>
      </c>
      <c r="D1627" s="81">
        <v>618.0</v>
      </c>
      <c r="E1627" s="81">
        <v>521.0</v>
      </c>
      <c r="F1627" s="81">
        <v>3.0</v>
      </c>
    </row>
    <row r="1628" ht="14.25" customHeight="1">
      <c r="A1628" s="80" t="s">
        <v>115</v>
      </c>
      <c r="B1628" s="80" t="s">
        <v>372</v>
      </c>
      <c r="C1628" s="80" t="s">
        <v>373</v>
      </c>
      <c r="D1628" s="81">
        <v>677.0</v>
      </c>
      <c r="E1628" s="81">
        <v>610.0</v>
      </c>
      <c r="F1628" s="81">
        <v>2.0</v>
      </c>
    </row>
    <row r="1629" ht="14.25" customHeight="1">
      <c r="A1629" s="80" t="s">
        <v>115</v>
      </c>
      <c r="B1629" s="80" t="s">
        <v>374</v>
      </c>
      <c r="C1629" s="80" t="s">
        <v>375</v>
      </c>
      <c r="D1629" s="81">
        <v>9752.0</v>
      </c>
      <c r="E1629" s="81">
        <v>9744.0</v>
      </c>
      <c r="F1629" s="81">
        <v>8.0</v>
      </c>
    </row>
    <row r="1630" ht="14.25" customHeight="1">
      <c r="A1630" s="144"/>
      <c r="B1630" s="79" t="s">
        <v>65</v>
      </c>
      <c r="C1630" s="79" t="s">
        <v>376</v>
      </c>
      <c r="D1630" s="78"/>
      <c r="E1630" s="78"/>
      <c r="F1630" s="83">
        <v>22.0</v>
      </c>
    </row>
    <row r="1631" ht="14.25" customHeight="1">
      <c r="A1631" s="144"/>
      <c r="B1631" s="143"/>
      <c r="C1631" s="78"/>
      <c r="D1631" s="78"/>
      <c r="E1631" s="78"/>
      <c r="F1631" s="78"/>
    </row>
    <row r="1632" ht="14.25" customHeight="1">
      <c r="A1632" s="84" t="s">
        <v>119</v>
      </c>
      <c r="B1632" s="143"/>
      <c r="C1632" s="78"/>
      <c r="D1632" s="78"/>
      <c r="E1632" s="78"/>
      <c r="F1632" s="78"/>
    </row>
    <row r="1633" ht="14.25" customHeight="1">
      <c r="A1633" s="79" t="s">
        <v>67</v>
      </c>
      <c r="B1633" s="79" t="s">
        <v>68</v>
      </c>
      <c r="C1633" s="78"/>
      <c r="D1633" s="78"/>
      <c r="E1633" s="78"/>
      <c r="F1633" s="78"/>
    </row>
    <row r="1634" ht="14.25" customHeight="1">
      <c r="A1634" s="80" t="s">
        <v>70</v>
      </c>
      <c r="B1634" s="81">
        <v>11.0</v>
      </c>
      <c r="C1634" s="78"/>
      <c r="D1634" s="78"/>
      <c r="E1634" s="78"/>
      <c r="F1634" s="78"/>
    </row>
    <row r="1635" ht="14.25" customHeight="1">
      <c r="A1635" s="80" t="s">
        <v>121</v>
      </c>
      <c r="B1635" s="81">
        <v>7.0</v>
      </c>
      <c r="C1635" s="78"/>
      <c r="D1635" s="78"/>
      <c r="E1635" s="78"/>
      <c r="F1635" s="78"/>
    </row>
    <row r="1636" ht="14.25" customHeight="1">
      <c r="A1636" s="80" t="s">
        <v>120</v>
      </c>
      <c r="B1636" s="81">
        <v>6.0</v>
      </c>
      <c r="C1636" s="78"/>
      <c r="D1636" s="78"/>
      <c r="E1636" s="78"/>
      <c r="F1636" s="78"/>
    </row>
    <row r="1637" ht="14.25" customHeight="1">
      <c r="A1637" s="80" t="s">
        <v>123</v>
      </c>
      <c r="B1637" s="81">
        <v>5.0</v>
      </c>
      <c r="C1637" s="78"/>
      <c r="D1637" s="78"/>
      <c r="E1637" s="78"/>
      <c r="F1637" s="78"/>
    </row>
    <row r="1638" ht="14.25" customHeight="1">
      <c r="A1638" s="80" t="s">
        <v>122</v>
      </c>
      <c r="B1638" s="81">
        <v>5.0</v>
      </c>
      <c r="C1638" s="78"/>
      <c r="D1638" s="78"/>
      <c r="E1638" s="78"/>
      <c r="F1638" s="78"/>
    </row>
    <row r="1639" ht="14.25" customHeight="1">
      <c r="A1639" s="144"/>
      <c r="B1639" s="83">
        <v>34.0</v>
      </c>
      <c r="C1639" s="78"/>
      <c r="D1639" s="78"/>
      <c r="E1639" s="78"/>
      <c r="F1639" s="78"/>
    </row>
    <row r="1640" ht="14.25" customHeight="1">
      <c r="A1640" s="144"/>
      <c r="B1640" s="143"/>
      <c r="C1640" s="78"/>
      <c r="D1640" s="78"/>
      <c r="E1640" s="78"/>
      <c r="F1640" s="78"/>
    </row>
    <row r="1641" ht="14.25" customHeight="1">
      <c r="A1641" s="84" t="s">
        <v>124</v>
      </c>
      <c r="B1641" s="143"/>
      <c r="C1641" s="78"/>
      <c r="D1641" s="78"/>
      <c r="E1641" s="78"/>
      <c r="F1641" s="78"/>
    </row>
    <row r="1642" ht="14.25" customHeight="1">
      <c r="A1642" s="79" t="s">
        <v>67</v>
      </c>
      <c r="B1642" s="79" t="s">
        <v>73</v>
      </c>
      <c r="C1642" s="79" t="s">
        <v>74</v>
      </c>
      <c r="D1642" s="79" t="s">
        <v>75</v>
      </c>
      <c r="E1642" s="79" t="s">
        <v>68</v>
      </c>
      <c r="F1642" s="78"/>
    </row>
    <row r="1643" ht="14.25" customHeight="1">
      <c r="A1643" s="80" t="s">
        <v>70</v>
      </c>
      <c r="B1643" s="81">
        <v>125.0</v>
      </c>
      <c r="C1643" s="81">
        <v>0.0</v>
      </c>
      <c r="D1643" s="81">
        <v>0.0</v>
      </c>
      <c r="E1643" s="81">
        <v>125.0</v>
      </c>
      <c r="F1643" s="78"/>
    </row>
    <row r="1644" ht="14.25" customHeight="1">
      <c r="A1644" s="80" t="s">
        <v>123</v>
      </c>
      <c r="B1644" s="81">
        <v>47.0</v>
      </c>
      <c r="C1644" s="81">
        <v>0.0</v>
      </c>
      <c r="D1644" s="81">
        <v>3.0</v>
      </c>
      <c r="E1644" s="81">
        <v>50.0</v>
      </c>
      <c r="F1644" s="78"/>
    </row>
    <row r="1645" ht="14.25" customHeight="1">
      <c r="A1645" s="80" t="s">
        <v>125</v>
      </c>
      <c r="B1645" s="81">
        <v>18.0</v>
      </c>
      <c r="C1645" s="81">
        <v>0.0</v>
      </c>
      <c r="D1645" s="81">
        <v>0.0</v>
      </c>
      <c r="E1645" s="81">
        <v>18.0</v>
      </c>
      <c r="F1645" s="78"/>
    </row>
    <row r="1646" ht="14.25" customHeight="1">
      <c r="A1646" s="80" t="s">
        <v>120</v>
      </c>
      <c r="B1646" s="81">
        <v>2.0</v>
      </c>
      <c r="C1646" s="81">
        <v>0.0</v>
      </c>
      <c r="D1646" s="81">
        <v>0.0</v>
      </c>
      <c r="E1646" s="81">
        <v>2.0</v>
      </c>
      <c r="F1646" s="78"/>
    </row>
    <row r="1647" ht="14.25" customHeight="1">
      <c r="A1647" s="144"/>
      <c r="B1647" s="143"/>
      <c r="C1647" s="78"/>
      <c r="D1647" s="78"/>
      <c r="E1647" s="78"/>
      <c r="F1647" s="78"/>
    </row>
    <row r="1648" ht="14.25" customHeight="1">
      <c r="A1648" s="84" t="s">
        <v>77</v>
      </c>
      <c r="B1648" s="143"/>
      <c r="C1648" s="78"/>
      <c r="D1648" s="78"/>
      <c r="E1648" s="78"/>
      <c r="F1648" s="78"/>
    </row>
    <row r="1649" ht="14.25" customHeight="1">
      <c r="A1649" s="86" t="s">
        <v>79</v>
      </c>
      <c r="B1649" s="86" t="s">
        <v>5</v>
      </c>
      <c r="C1649" s="78"/>
      <c r="D1649" s="78"/>
      <c r="E1649" s="78"/>
      <c r="F1649" s="78"/>
    </row>
    <row r="1650" ht="14.25" customHeight="1">
      <c r="A1650" s="87" t="s">
        <v>126</v>
      </c>
      <c r="B1650" s="88">
        <v>14.0</v>
      </c>
      <c r="C1650" s="78"/>
      <c r="D1650" s="78"/>
      <c r="E1650" s="78"/>
      <c r="F1650" s="78"/>
    </row>
    <row r="1651" ht="14.25" customHeight="1">
      <c r="A1651" s="87" t="s">
        <v>88</v>
      </c>
      <c r="B1651" s="88">
        <v>7.0</v>
      </c>
      <c r="C1651" s="78"/>
      <c r="D1651" s="78"/>
      <c r="E1651" s="78"/>
      <c r="F1651" s="78"/>
    </row>
    <row r="1652" ht="14.25" customHeight="1">
      <c r="A1652" s="87" t="s">
        <v>83</v>
      </c>
      <c r="B1652" s="88">
        <v>5.0</v>
      </c>
      <c r="C1652" s="78"/>
      <c r="D1652" s="78"/>
      <c r="E1652" s="78"/>
      <c r="F1652" s="78"/>
    </row>
    <row r="1653" ht="14.25" customHeight="1">
      <c r="A1653" s="144"/>
      <c r="B1653" s="143"/>
      <c r="C1653" s="78"/>
      <c r="D1653" s="78"/>
      <c r="E1653" s="78"/>
      <c r="F1653" s="78"/>
    </row>
    <row r="1654" ht="14.25" customHeight="1">
      <c r="A1654" s="89" t="s">
        <v>127</v>
      </c>
      <c r="B1654" s="90" t="s">
        <v>377</v>
      </c>
      <c r="C1654" s="78"/>
      <c r="D1654" s="78"/>
      <c r="E1654" s="78"/>
      <c r="F1654" s="78"/>
    </row>
    <row r="1655" ht="14.25" customHeight="1">
      <c r="A1655" s="89" t="s">
        <v>129</v>
      </c>
      <c r="B1655" s="90" t="s">
        <v>54</v>
      </c>
      <c r="C1655" s="78"/>
      <c r="D1655" s="78"/>
      <c r="E1655" s="78"/>
      <c r="F1655" s="78"/>
    </row>
    <row r="1656" ht="14.25" customHeight="1">
      <c r="A1656" s="89" t="s">
        <v>131</v>
      </c>
      <c r="B1656" s="90" t="s">
        <v>54</v>
      </c>
      <c r="C1656" s="78"/>
      <c r="D1656" s="78"/>
      <c r="E1656" s="78"/>
      <c r="F1656" s="78"/>
    </row>
    <row r="1657" ht="14.25" customHeight="1">
      <c r="A1657" s="89" t="s">
        <v>132</v>
      </c>
      <c r="B1657" s="90" t="s">
        <v>54</v>
      </c>
      <c r="C1657" s="78"/>
      <c r="D1657" s="78"/>
      <c r="E1657" s="78"/>
      <c r="F1657" s="78"/>
    </row>
    <row r="1658" ht="14.25" customHeight="1">
      <c r="A1658" s="144"/>
      <c r="B1658" s="153"/>
      <c r="C1658" s="78"/>
      <c r="D1658" s="78"/>
      <c r="E1658" s="78"/>
      <c r="F1658" s="78"/>
    </row>
    <row r="1659" ht="14.25" customHeight="1">
      <c r="A1659" s="93" t="s">
        <v>7</v>
      </c>
      <c r="B1659" s="94" t="s">
        <v>377</v>
      </c>
      <c r="C1659" s="95">
        <v>1.0</v>
      </c>
      <c r="D1659" s="78"/>
      <c r="E1659" s="78"/>
      <c r="F1659" s="78"/>
    </row>
    <row r="1660" ht="14.25" customHeight="1">
      <c r="A1660" s="144"/>
      <c r="B1660" s="143"/>
      <c r="C1660" s="78"/>
      <c r="D1660" s="78"/>
      <c r="E1660" s="78"/>
      <c r="F1660" s="78"/>
    </row>
    <row r="1661" ht="14.25" customHeight="1">
      <c r="A1661" s="66" t="s">
        <v>1</v>
      </c>
      <c r="B1661" s="44">
        <v>46233.0</v>
      </c>
      <c r="C1661" s="78"/>
      <c r="D1661" s="78"/>
      <c r="E1661" s="78"/>
      <c r="F1661" s="78"/>
    </row>
    <row r="1662" ht="14.25" customHeight="1">
      <c r="A1662" s="96" t="s">
        <v>4</v>
      </c>
      <c r="B1662" s="13" t="s">
        <v>376</v>
      </c>
      <c r="C1662" s="78"/>
      <c r="D1662" s="78"/>
      <c r="E1662" s="78"/>
      <c r="F1662" s="78"/>
    </row>
    <row r="1663" ht="14.25" customHeight="1">
      <c r="A1663" s="96" t="s">
        <v>5</v>
      </c>
      <c r="B1663" s="13">
        <v>22.0</v>
      </c>
      <c r="C1663" s="78"/>
      <c r="D1663" s="78"/>
      <c r="E1663" s="78"/>
      <c r="F1663" s="78"/>
    </row>
    <row r="1664" ht="14.25" customHeight="1">
      <c r="A1664" s="96" t="s">
        <v>6</v>
      </c>
      <c r="B1664" s="13" t="s">
        <v>378</v>
      </c>
      <c r="C1664" s="78"/>
      <c r="D1664" s="78"/>
      <c r="E1664" s="78"/>
      <c r="F1664" s="78"/>
    </row>
    <row r="1665" ht="14.25" customHeight="1">
      <c r="A1665" s="96" t="s">
        <v>7</v>
      </c>
      <c r="B1665" s="13" t="s">
        <v>377</v>
      </c>
      <c r="C1665" s="78"/>
      <c r="D1665" s="78"/>
      <c r="E1665" s="78"/>
      <c r="F1665" s="78"/>
    </row>
    <row r="1666" ht="14.25" customHeight="1">
      <c r="A1666" s="96" t="s">
        <v>9</v>
      </c>
      <c r="B1666" s="39">
        <v>0.09</v>
      </c>
      <c r="C1666" s="78"/>
      <c r="D1666" s="78"/>
      <c r="E1666" s="78"/>
      <c r="F1666" s="78"/>
    </row>
    <row r="1667" ht="14.25" customHeight="1">
      <c r="A1667" s="96" t="s">
        <v>18</v>
      </c>
      <c r="B1667" s="13">
        <v>11.38</v>
      </c>
      <c r="C1667" s="78"/>
      <c r="D1667" s="78"/>
      <c r="E1667" s="78"/>
      <c r="F1667" s="78"/>
    </row>
    <row r="1668" ht="14.25" customHeight="1">
      <c r="A1668" s="96" t="s">
        <v>22</v>
      </c>
      <c r="B1668" s="13" t="s">
        <v>377</v>
      </c>
      <c r="C1668" s="78"/>
      <c r="D1668" s="78"/>
      <c r="E1668" s="78"/>
      <c r="F1668" s="78"/>
    </row>
    <row r="1669" ht="14.25" customHeight="1">
      <c r="A1669" s="96" t="s">
        <v>29</v>
      </c>
      <c r="B1669" s="39">
        <v>0.0455</v>
      </c>
      <c r="C1669" s="78"/>
      <c r="D1669" s="78"/>
      <c r="E1669" s="78"/>
      <c r="F1669" s="78"/>
    </row>
    <row r="1670" ht="14.25" customHeight="1">
      <c r="A1670" s="80"/>
      <c r="B1670" s="142"/>
      <c r="C1670" s="78"/>
      <c r="D1670" s="78"/>
      <c r="E1670" s="78"/>
      <c r="F1670" s="78"/>
    </row>
    <row r="1671" ht="14.25" customHeight="1">
      <c r="A1671" s="80"/>
      <c r="B1671" s="142"/>
      <c r="C1671" s="78"/>
      <c r="D1671" s="78"/>
      <c r="E1671" s="78"/>
      <c r="F1671" s="78"/>
    </row>
    <row r="1672" ht="14.25" customHeight="1">
      <c r="A1672" s="77" t="s">
        <v>379</v>
      </c>
      <c r="B1672" s="143"/>
      <c r="C1672" s="78"/>
      <c r="D1672" s="78"/>
      <c r="E1672" s="78"/>
      <c r="F1672" s="78"/>
    </row>
    <row r="1673" ht="14.25" customHeight="1">
      <c r="A1673" s="79" t="s">
        <v>103</v>
      </c>
      <c r="B1673" s="79" t="s">
        <v>44</v>
      </c>
      <c r="C1673" s="79" t="s">
        <v>104</v>
      </c>
      <c r="D1673" s="79" t="s">
        <v>46</v>
      </c>
      <c r="E1673" s="79" t="s">
        <v>47</v>
      </c>
      <c r="F1673" s="79" t="s">
        <v>43</v>
      </c>
    </row>
    <row r="1674" ht="14.25" customHeight="1">
      <c r="A1674" s="80" t="s">
        <v>105</v>
      </c>
      <c r="B1674" s="80" t="s">
        <v>380</v>
      </c>
      <c r="C1674" s="80" t="s">
        <v>381</v>
      </c>
      <c r="D1674" s="81">
        <v>6078.0</v>
      </c>
      <c r="E1674" s="81">
        <v>5596.0</v>
      </c>
      <c r="F1674" s="81">
        <v>15.0</v>
      </c>
    </row>
    <row r="1675" ht="14.25" customHeight="1">
      <c r="A1675" s="80" t="s">
        <v>108</v>
      </c>
      <c r="B1675" s="80" t="s">
        <v>382</v>
      </c>
      <c r="C1675" s="80" t="s">
        <v>383</v>
      </c>
      <c r="D1675" s="81">
        <v>1173.0</v>
      </c>
      <c r="E1675" s="81">
        <v>1068.0</v>
      </c>
      <c r="F1675" s="81">
        <v>5.0</v>
      </c>
    </row>
    <row r="1676" ht="14.25" customHeight="1">
      <c r="A1676" s="80" t="s">
        <v>108</v>
      </c>
      <c r="B1676" s="80" t="s">
        <v>384</v>
      </c>
      <c r="C1676" s="80" t="s">
        <v>385</v>
      </c>
      <c r="D1676" s="81">
        <v>3990.0</v>
      </c>
      <c r="E1676" s="81">
        <v>3816.0</v>
      </c>
      <c r="F1676" s="81">
        <v>17.0</v>
      </c>
    </row>
    <row r="1677" ht="14.25" customHeight="1">
      <c r="A1677" s="80" t="s">
        <v>115</v>
      </c>
      <c r="B1677" s="80" t="s">
        <v>386</v>
      </c>
      <c r="C1677" s="80" t="s">
        <v>386</v>
      </c>
      <c r="D1677" s="81">
        <v>3642.0</v>
      </c>
      <c r="E1677" s="81">
        <v>3642.0</v>
      </c>
      <c r="F1677" s="81">
        <v>1.0</v>
      </c>
    </row>
    <row r="1678" ht="14.25" customHeight="1">
      <c r="A1678" s="80" t="s">
        <v>115</v>
      </c>
      <c r="B1678" s="80" t="s">
        <v>387</v>
      </c>
      <c r="C1678" s="80" t="s">
        <v>388</v>
      </c>
      <c r="D1678" s="81">
        <v>5962.0</v>
      </c>
      <c r="E1678" s="81">
        <v>5556.0</v>
      </c>
      <c r="F1678" s="81">
        <v>6.0</v>
      </c>
    </row>
    <row r="1679" ht="14.25" customHeight="1">
      <c r="A1679" s="144"/>
      <c r="B1679" s="83" t="s">
        <v>65</v>
      </c>
      <c r="C1679" s="83" t="s">
        <v>389</v>
      </c>
      <c r="D1679" s="78"/>
      <c r="E1679" s="78"/>
      <c r="F1679" s="83">
        <v>44.0</v>
      </c>
    </row>
    <row r="1680" ht="14.25" customHeight="1">
      <c r="A1680" s="144"/>
      <c r="B1680" s="143"/>
      <c r="C1680" s="78"/>
      <c r="D1680" s="78"/>
      <c r="E1680" s="78"/>
      <c r="F1680" s="78"/>
    </row>
    <row r="1681" ht="14.25" customHeight="1">
      <c r="A1681" s="84" t="s">
        <v>119</v>
      </c>
      <c r="B1681" s="143"/>
      <c r="C1681" s="78"/>
      <c r="D1681" s="78"/>
      <c r="E1681" s="78"/>
      <c r="F1681" s="78"/>
    </row>
    <row r="1682" ht="14.25" customHeight="1">
      <c r="A1682" s="79" t="s">
        <v>67</v>
      </c>
      <c r="B1682" s="79" t="s">
        <v>68</v>
      </c>
      <c r="C1682" s="78"/>
      <c r="D1682" s="78"/>
      <c r="E1682" s="78"/>
      <c r="F1682" s="78"/>
    </row>
    <row r="1683" ht="14.25" customHeight="1">
      <c r="A1683" s="80" t="s">
        <v>70</v>
      </c>
      <c r="B1683" s="81">
        <v>12.0</v>
      </c>
      <c r="C1683" s="78"/>
      <c r="D1683" s="78"/>
      <c r="E1683" s="78"/>
      <c r="F1683" s="78"/>
    </row>
    <row r="1684" ht="14.25" customHeight="1">
      <c r="A1684" s="80" t="s">
        <v>123</v>
      </c>
      <c r="B1684" s="81">
        <v>10.0</v>
      </c>
      <c r="C1684" s="78"/>
      <c r="D1684" s="78"/>
      <c r="E1684" s="78"/>
      <c r="F1684" s="78"/>
    </row>
    <row r="1685" ht="14.25" customHeight="1">
      <c r="A1685" s="80" t="s">
        <v>120</v>
      </c>
      <c r="B1685" s="81">
        <v>10.0</v>
      </c>
      <c r="C1685" s="78"/>
      <c r="D1685" s="78"/>
      <c r="E1685" s="78"/>
      <c r="F1685" s="78"/>
    </row>
    <row r="1686" ht="14.25" customHeight="1">
      <c r="A1686" s="80" t="s">
        <v>121</v>
      </c>
      <c r="B1686" s="81">
        <v>8.0</v>
      </c>
      <c r="C1686" s="78"/>
      <c r="D1686" s="78"/>
      <c r="E1686" s="78"/>
      <c r="F1686" s="78"/>
    </row>
    <row r="1687" ht="14.25" customHeight="1">
      <c r="A1687" s="80" t="s">
        <v>122</v>
      </c>
      <c r="B1687" s="81">
        <v>7.0</v>
      </c>
      <c r="C1687" s="78"/>
      <c r="D1687" s="78"/>
      <c r="E1687" s="78"/>
      <c r="F1687" s="78"/>
    </row>
    <row r="1688" ht="14.25" customHeight="1">
      <c r="A1688" s="144"/>
      <c r="B1688" s="83">
        <v>47.0</v>
      </c>
      <c r="C1688" s="78"/>
      <c r="D1688" s="78"/>
      <c r="E1688" s="78"/>
      <c r="F1688" s="78"/>
    </row>
    <row r="1689" ht="14.25" customHeight="1">
      <c r="A1689" s="144"/>
      <c r="B1689" s="143"/>
      <c r="C1689" s="78"/>
      <c r="D1689" s="78"/>
      <c r="E1689" s="78"/>
      <c r="F1689" s="78"/>
    </row>
    <row r="1690" ht="14.25" customHeight="1">
      <c r="A1690" s="84" t="s">
        <v>124</v>
      </c>
      <c r="B1690" s="143"/>
      <c r="C1690" s="78"/>
      <c r="D1690" s="78"/>
      <c r="E1690" s="78"/>
      <c r="F1690" s="78"/>
    </row>
    <row r="1691" ht="14.25" customHeight="1">
      <c r="A1691" s="79" t="s">
        <v>67</v>
      </c>
      <c r="B1691" s="79" t="s">
        <v>73</v>
      </c>
      <c r="C1691" s="79" t="s">
        <v>74</v>
      </c>
      <c r="D1691" s="79" t="s">
        <v>75</v>
      </c>
      <c r="E1691" s="79" t="s">
        <v>68</v>
      </c>
      <c r="F1691" s="78"/>
    </row>
    <row r="1692" ht="14.25" customHeight="1">
      <c r="A1692" s="80" t="s">
        <v>123</v>
      </c>
      <c r="B1692" s="81">
        <v>102.0</v>
      </c>
      <c r="C1692" s="81">
        <v>0.0</v>
      </c>
      <c r="D1692" s="81">
        <v>0.0</v>
      </c>
      <c r="E1692" s="81">
        <v>102.0</v>
      </c>
      <c r="F1692" s="78"/>
    </row>
    <row r="1693" ht="14.25" customHeight="1">
      <c r="A1693" s="80" t="s">
        <v>70</v>
      </c>
      <c r="B1693" s="81">
        <v>55.0</v>
      </c>
      <c r="C1693" s="81">
        <v>0.0</v>
      </c>
      <c r="D1693" s="81">
        <v>0.0</v>
      </c>
      <c r="E1693" s="81">
        <v>55.0</v>
      </c>
      <c r="F1693" s="78"/>
    </row>
    <row r="1694" ht="14.25" customHeight="1">
      <c r="A1694" s="80" t="s">
        <v>122</v>
      </c>
      <c r="B1694" s="81">
        <v>3.0</v>
      </c>
      <c r="C1694" s="81">
        <v>0.0</v>
      </c>
      <c r="D1694" s="81">
        <v>2.0</v>
      </c>
      <c r="E1694" s="81">
        <v>5.0</v>
      </c>
      <c r="F1694" s="78"/>
    </row>
    <row r="1695" ht="14.25" customHeight="1">
      <c r="A1695" s="80" t="s">
        <v>121</v>
      </c>
      <c r="B1695" s="81">
        <v>4.0</v>
      </c>
      <c r="C1695" s="81">
        <v>0.0</v>
      </c>
      <c r="D1695" s="81">
        <v>0.0</v>
      </c>
      <c r="E1695" s="81">
        <v>4.0</v>
      </c>
      <c r="F1695" s="78"/>
    </row>
    <row r="1696" ht="14.25" customHeight="1">
      <c r="A1696" s="80" t="s">
        <v>125</v>
      </c>
      <c r="B1696" s="81">
        <v>3.0</v>
      </c>
      <c r="C1696" s="81">
        <v>0.0</v>
      </c>
      <c r="D1696" s="81">
        <v>0.0</v>
      </c>
      <c r="E1696" s="81">
        <v>3.0</v>
      </c>
      <c r="F1696" s="78"/>
    </row>
    <row r="1697" ht="14.25" customHeight="1">
      <c r="A1697" s="144"/>
      <c r="B1697" s="143"/>
      <c r="C1697" s="78"/>
      <c r="D1697" s="78"/>
      <c r="E1697" s="78"/>
      <c r="F1697" s="78"/>
    </row>
    <row r="1698" ht="14.25" customHeight="1">
      <c r="A1698" s="84" t="s">
        <v>77</v>
      </c>
      <c r="B1698" s="143"/>
      <c r="C1698" s="78"/>
      <c r="D1698" s="78"/>
      <c r="E1698" s="78"/>
      <c r="F1698" s="78"/>
    </row>
    <row r="1699" ht="14.25" customHeight="1">
      <c r="A1699" s="86" t="s">
        <v>79</v>
      </c>
      <c r="B1699" s="86" t="s">
        <v>5</v>
      </c>
      <c r="C1699" s="78"/>
      <c r="D1699" s="78"/>
      <c r="E1699" s="78"/>
      <c r="F1699" s="78"/>
    </row>
    <row r="1700" ht="14.25" customHeight="1">
      <c r="A1700" s="87" t="s">
        <v>88</v>
      </c>
      <c r="B1700" s="88">
        <v>17.0</v>
      </c>
      <c r="C1700" s="78"/>
      <c r="D1700" s="78"/>
      <c r="E1700" s="78"/>
      <c r="F1700" s="78"/>
    </row>
    <row r="1701" ht="14.25" customHeight="1">
      <c r="A1701" s="87" t="s">
        <v>83</v>
      </c>
      <c r="B1701" s="88">
        <v>16.0</v>
      </c>
      <c r="C1701" s="78"/>
      <c r="D1701" s="78"/>
      <c r="E1701" s="78"/>
      <c r="F1701" s="78"/>
    </row>
    <row r="1702" ht="14.25" customHeight="1">
      <c r="A1702" s="87" t="s">
        <v>126</v>
      </c>
      <c r="B1702" s="88">
        <v>8.0</v>
      </c>
      <c r="C1702" s="78"/>
      <c r="D1702" s="78"/>
      <c r="E1702" s="78"/>
      <c r="F1702" s="78"/>
    </row>
    <row r="1703" ht="14.25" customHeight="1">
      <c r="A1703" s="87" t="s">
        <v>390</v>
      </c>
      <c r="B1703" s="88">
        <v>1.0</v>
      </c>
      <c r="C1703" s="78"/>
      <c r="D1703" s="78"/>
      <c r="E1703" s="78"/>
      <c r="F1703" s="78"/>
    </row>
    <row r="1704" ht="14.25" customHeight="1">
      <c r="A1704" s="87" t="s">
        <v>174</v>
      </c>
      <c r="B1704" s="88">
        <v>1.0</v>
      </c>
      <c r="C1704" s="78"/>
      <c r="D1704" s="78"/>
      <c r="E1704" s="78"/>
      <c r="F1704" s="78"/>
    </row>
    <row r="1705" ht="14.25" customHeight="1">
      <c r="A1705" s="144"/>
      <c r="B1705" s="143"/>
      <c r="C1705" s="78"/>
      <c r="D1705" s="78"/>
      <c r="E1705" s="78"/>
      <c r="F1705" s="78"/>
    </row>
    <row r="1706" ht="14.25" customHeight="1">
      <c r="A1706" s="89" t="s">
        <v>127</v>
      </c>
      <c r="B1706" s="90" t="s">
        <v>391</v>
      </c>
      <c r="C1706" s="78"/>
      <c r="D1706" s="78"/>
      <c r="E1706" s="78"/>
      <c r="F1706" s="78"/>
    </row>
    <row r="1707" ht="14.25" customHeight="1">
      <c r="A1707" s="89" t="s">
        <v>129</v>
      </c>
      <c r="B1707" s="90" t="s">
        <v>54</v>
      </c>
      <c r="C1707" s="78"/>
      <c r="D1707" s="78"/>
      <c r="E1707" s="78"/>
      <c r="F1707" s="78"/>
    </row>
    <row r="1708" ht="14.25" customHeight="1">
      <c r="A1708" s="89" t="s">
        <v>131</v>
      </c>
      <c r="B1708" s="90" t="s">
        <v>54</v>
      </c>
      <c r="C1708" s="78"/>
      <c r="D1708" s="78"/>
      <c r="E1708" s="78"/>
      <c r="F1708" s="78"/>
    </row>
    <row r="1709" ht="14.25" customHeight="1">
      <c r="A1709" s="89" t="s">
        <v>132</v>
      </c>
      <c r="B1709" s="90" t="s">
        <v>54</v>
      </c>
      <c r="C1709" s="78"/>
      <c r="D1709" s="78"/>
      <c r="E1709" s="78"/>
      <c r="F1709" s="78"/>
    </row>
    <row r="1710" ht="14.25" customHeight="1">
      <c r="A1710" s="144"/>
      <c r="B1710" s="153"/>
      <c r="C1710" s="78"/>
      <c r="D1710" s="78"/>
      <c r="E1710" s="78"/>
      <c r="F1710" s="78"/>
    </row>
    <row r="1711" ht="14.25" customHeight="1">
      <c r="A1711" s="93" t="s">
        <v>7</v>
      </c>
      <c r="B1711" s="94" t="s">
        <v>391</v>
      </c>
      <c r="C1711" s="95">
        <v>1.0</v>
      </c>
      <c r="D1711" s="78"/>
      <c r="E1711" s="78"/>
      <c r="F1711" s="78"/>
    </row>
    <row r="1712" ht="14.25" customHeight="1">
      <c r="A1712" s="144"/>
      <c r="B1712" s="153"/>
      <c r="C1712" s="78"/>
      <c r="D1712" s="78"/>
      <c r="E1712" s="78"/>
      <c r="F1712" s="78"/>
    </row>
    <row r="1713" ht="14.25" customHeight="1">
      <c r="A1713" s="66" t="s">
        <v>1</v>
      </c>
      <c r="B1713" s="44">
        <v>46234.0</v>
      </c>
      <c r="C1713" s="78"/>
      <c r="D1713" s="78"/>
      <c r="E1713" s="78"/>
      <c r="F1713" s="78"/>
    </row>
    <row r="1714" ht="14.25" customHeight="1">
      <c r="A1714" s="96" t="s">
        <v>4</v>
      </c>
      <c r="B1714" s="13" t="s">
        <v>389</v>
      </c>
      <c r="C1714" s="78"/>
      <c r="D1714" s="78"/>
      <c r="E1714" s="78"/>
      <c r="F1714" s="78"/>
    </row>
    <row r="1715" ht="14.25" customHeight="1">
      <c r="A1715" s="96" t="s">
        <v>5</v>
      </c>
      <c r="B1715" s="13">
        <v>44.0</v>
      </c>
      <c r="C1715" s="78"/>
      <c r="D1715" s="78"/>
      <c r="E1715" s="78"/>
      <c r="F1715" s="78"/>
    </row>
    <row r="1716" ht="14.25" customHeight="1">
      <c r="A1716" s="96" t="s">
        <v>6</v>
      </c>
      <c r="B1716" s="13" t="s">
        <v>392</v>
      </c>
      <c r="C1716" s="78"/>
      <c r="D1716" s="78"/>
      <c r="E1716" s="78"/>
      <c r="F1716" s="78"/>
    </row>
    <row r="1717" ht="14.25" customHeight="1">
      <c r="A1717" s="96" t="s">
        <v>7</v>
      </c>
      <c r="B1717" s="13" t="s">
        <v>391</v>
      </c>
      <c r="C1717" s="78"/>
      <c r="D1717" s="78"/>
      <c r="E1717" s="78"/>
      <c r="F1717" s="78"/>
    </row>
    <row r="1718" ht="14.25" customHeight="1">
      <c r="A1718" s="96" t="s">
        <v>9</v>
      </c>
      <c r="B1718" s="39">
        <v>0.22</v>
      </c>
      <c r="C1718" s="78"/>
      <c r="D1718" s="78"/>
      <c r="E1718" s="78"/>
      <c r="F1718" s="78"/>
    </row>
    <row r="1719" ht="14.25" customHeight="1">
      <c r="A1719" s="96" t="s">
        <v>18</v>
      </c>
      <c r="B1719" s="13">
        <v>4.56</v>
      </c>
      <c r="C1719" s="78"/>
      <c r="D1719" s="78"/>
      <c r="E1719" s="78"/>
      <c r="F1719" s="78"/>
    </row>
    <row r="1720" ht="14.25" customHeight="1">
      <c r="A1720" s="96" t="s">
        <v>22</v>
      </c>
      <c r="B1720" s="13" t="s">
        <v>391</v>
      </c>
      <c r="C1720" s="78"/>
      <c r="D1720" s="78"/>
      <c r="E1720" s="78"/>
      <c r="F1720" s="78"/>
    </row>
    <row r="1721" ht="14.25" customHeight="1">
      <c r="A1721" s="96" t="s">
        <v>29</v>
      </c>
      <c r="B1721" s="39">
        <v>0.0227</v>
      </c>
      <c r="C1721" s="78"/>
      <c r="D1721" s="78"/>
      <c r="E1721" s="78"/>
      <c r="F1721" s="78"/>
    </row>
    <row r="1722" ht="14.25" customHeight="1">
      <c r="A1722" s="80"/>
      <c r="B1722" s="142"/>
      <c r="C1722" s="78"/>
      <c r="D1722" s="78"/>
      <c r="E1722" s="78"/>
      <c r="F1722" s="78"/>
    </row>
    <row r="1723" ht="14.25" customHeight="1">
      <c r="A1723" s="80"/>
      <c r="B1723" s="142"/>
      <c r="C1723" s="78"/>
      <c r="D1723" s="78"/>
      <c r="E1723" s="78"/>
      <c r="F1723" s="78"/>
    </row>
    <row r="1724" ht="14.25" customHeight="1">
      <c r="A1724" s="80"/>
      <c r="B1724" s="142"/>
      <c r="C1724" s="78"/>
      <c r="D1724" s="78"/>
      <c r="E1724" s="78"/>
      <c r="F1724" s="78"/>
    </row>
    <row r="1725" ht="14.25" customHeight="1">
      <c r="A1725" s="80"/>
      <c r="B1725" s="142"/>
      <c r="C1725" s="78"/>
      <c r="D1725" s="78"/>
      <c r="E1725" s="78"/>
      <c r="F1725" s="78"/>
    </row>
    <row r="1726" ht="14.25" customHeight="1">
      <c r="A1726" s="80"/>
      <c r="B1726" s="142"/>
      <c r="C1726" s="78"/>
      <c r="D1726" s="78"/>
      <c r="E1726" s="78"/>
      <c r="F1726" s="78"/>
    </row>
    <row r="1727" ht="14.25" customHeight="1">
      <c r="A1727" s="80"/>
      <c r="B1727" s="142"/>
      <c r="C1727" s="78"/>
      <c r="D1727" s="78"/>
      <c r="E1727" s="78"/>
      <c r="F1727" s="78"/>
    </row>
    <row r="1728" ht="14.25" customHeight="1">
      <c r="A1728" s="80"/>
      <c r="B1728" s="142"/>
      <c r="C1728" s="78"/>
      <c r="D1728" s="78"/>
      <c r="E1728" s="78"/>
      <c r="F1728" s="78"/>
    </row>
    <row r="1729" ht="14.25" customHeight="1">
      <c r="A1729" s="80"/>
      <c r="B1729" s="142"/>
      <c r="C1729" s="78"/>
      <c r="D1729" s="78"/>
      <c r="E1729" s="78"/>
      <c r="F1729" s="78"/>
    </row>
    <row r="1730" ht="14.25" customHeight="1">
      <c r="A1730" s="80"/>
      <c r="B1730" s="142"/>
      <c r="C1730" s="78"/>
      <c r="D1730" s="78"/>
      <c r="E1730" s="78"/>
      <c r="F1730" s="78"/>
    </row>
    <row r="1731" ht="14.25" customHeight="1">
      <c r="A1731" s="80"/>
      <c r="B1731" s="142"/>
      <c r="C1731" s="78"/>
      <c r="D1731" s="78"/>
      <c r="E1731" s="78"/>
      <c r="F1731" s="78"/>
    </row>
    <row r="1732" ht="14.25" customHeight="1">
      <c r="A1732" s="80"/>
      <c r="B1732" s="142"/>
      <c r="C1732" s="78"/>
      <c r="D1732" s="78"/>
      <c r="E1732" s="78"/>
      <c r="F1732" s="78"/>
    </row>
    <row r="1733" ht="14.25" customHeight="1">
      <c r="A1733" s="80"/>
      <c r="B1733" s="142"/>
      <c r="C1733" s="78"/>
      <c r="D1733" s="78"/>
      <c r="E1733" s="78"/>
      <c r="F1733" s="78"/>
    </row>
    <row r="1734" ht="14.25" customHeight="1">
      <c r="A1734" s="80"/>
      <c r="B1734" s="142"/>
      <c r="C1734" s="78"/>
      <c r="D1734" s="78"/>
      <c r="E1734" s="78"/>
      <c r="F1734" s="78"/>
    </row>
    <row r="1735" ht="14.25" customHeight="1">
      <c r="A1735" s="80"/>
      <c r="B1735" s="142"/>
      <c r="C1735" s="78"/>
      <c r="D1735" s="78"/>
      <c r="E1735" s="78"/>
      <c r="F1735" s="78"/>
    </row>
    <row r="1736" ht="14.25" customHeight="1">
      <c r="A1736" s="80"/>
      <c r="B1736" s="142"/>
      <c r="C1736" s="78"/>
      <c r="D1736" s="78"/>
      <c r="E1736" s="78"/>
      <c r="F1736" s="78"/>
    </row>
    <row r="1737" ht="14.25" customHeight="1">
      <c r="A1737" s="80"/>
      <c r="B1737" s="142"/>
      <c r="C1737" s="78"/>
      <c r="D1737" s="78"/>
      <c r="E1737" s="78"/>
      <c r="F1737" s="78"/>
    </row>
    <row r="1738" ht="14.25" customHeight="1">
      <c r="A1738" s="80"/>
      <c r="B1738" s="142"/>
      <c r="C1738" s="78"/>
      <c r="D1738" s="78"/>
      <c r="E1738" s="78"/>
      <c r="F1738" s="78"/>
    </row>
    <row r="1739" ht="14.25" customHeight="1">
      <c r="A1739" s="80"/>
      <c r="B1739" s="142"/>
      <c r="C1739" s="78"/>
      <c r="D1739" s="78"/>
      <c r="E1739" s="78"/>
      <c r="F1739" s="78"/>
    </row>
    <row r="1740" ht="14.25" customHeight="1">
      <c r="A1740" s="80"/>
      <c r="B1740" s="142"/>
      <c r="C1740" s="78"/>
      <c r="D1740" s="78"/>
      <c r="E1740" s="78"/>
      <c r="F1740" s="78"/>
    </row>
    <row r="1741" ht="14.25" customHeight="1">
      <c r="A1741" s="80"/>
      <c r="B1741" s="142"/>
      <c r="C1741" s="78"/>
      <c r="D1741" s="78"/>
      <c r="E1741" s="78"/>
      <c r="F1741" s="78"/>
    </row>
    <row r="1742" ht="14.25" customHeight="1">
      <c r="A1742" s="80"/>
      <c r="B1742" s="142"/>
      <c r="C1742" s="78"/>
      <c r="D1742" s="78"/>
      <c r="E1742" s="78"/>
      <c r="F1742" s="78"/>
    </row>
    <row r="1743" ht="14.25" customHeight="1">
      <c r="A1743" s="80"/>
      <c r="B1743" s="142"/>
      <c r="C1743" s="78"/>
      <c r="D1743" s="78"/>
      <c r="E1743" s="78"/>
      <c r="F1743" s="78"/>
    </row>
    <row r="1744" ht="14.25" customHeight="1">
      <c r="A1744" s="80"/>
      <c r="B1744" s="142"/>
      <c r="C1744" s="78"/>
      <c r="D1744" s="78"/>
      <c r="E1744" s="78"/>
      <c r="F1744" s="78"/>
    </row>
    <row r="1745" ht="14.25" customHeight="1">
      <c r="A1745" s="80"/>
      <c r="B1745" s="142"/>
      <c r="C1745" s="78"/>
      <c r="D1745" s="78"/>
      <c r="E1745" s="78"/>
      <c r="F1745" s="78"/>
    </row>
    <row r="1746" ht="14.25" customHeight="1">
      <c r="A1746" s="80"/>
      <c r="B1746" s="142"/>
      <c r="C1746" s="78"/>
      <c r="D1746" s="78"/>
      <c r="E1746" s="78"/>
      <c r="F1746" s="78"/>
    </row>
    <row r="1747" ht="14.25" customHeight="1">
      <c r="A1747" s="80"/>
      <c r="B1747" s="142"/>
      <c r="C1747" s="78"/>
      <c r="D1747" s="78"/>
      <c r="E1747" s="78"/>
      <c r="F1747" s="78"/>
    </row>
    <row r="1748" ht="14.25" customHeight="1">
      <c r="A1748" s="80"/>
      <c r="B1748" s="142"/>
      <c r="C1748" s="78"/>
      <c r="D1748" s="78"/>
      <c r="E1748" s="78"/>
      <c r="F1748" s="78"/>
    </row>
    <row r="1749" ht="14.25" customHeight="1">
      <c r="A1749" s="80"/>
      <c r="B1749" s="142"/>
      <c r="C1749" s="78"/>
      <c r="D1749" s="78"/>
      <c r="E1749" s="78"/>
      <c r="F1749" s="78"/>
    </row>
    <row r="1750" ht="14.25" customHeight="1">
      <c r="A1750" s="80"/>
      <c r="B1750" s="142"/>
      <c r="C1750" s="78"/>
      <c r="D1750" s="78"/>
      <c r="E1750" s="78"/>
      <c r="F1750" s="78"/>
    </row>
    <row r="1751" ht="14.25" customHeight="1">
      <c r="A1751" s="80"/>
      <c r="B1751" s="142"/>
      <c r="C1751" s="78"/>
      <c r="D1751" s="78"/>
      <c r="E1751" s="78"/>
      <c r="F1751" s="78"/>
    </row>
    <row r="1752" ht="14.25" customHeight="1">
      <c r="A1752" s="80"/>
      <c r="B1752" s="142"/>
      <c r="C1752" s="78"/>
      <c r="D1752" s="78"/>
      <c r="E1752" s="78"/>
      <c r="F1752" s="78"/>
    </row>
    <row r="1753" ht="14.25" customHeight="1">
      <c r="A1753" s="80"/>
      <c r="B1753" s="142"/>
      <c r="C1753" s="78"/>
      <c r="D1753" s="78"/>
      <c r="E1753" s="78"/>
      <c r="F1753" s="78"/>
    </row>
    <row r="1754" ht="14.25" customHeight="1">
      <c r="A1754" s="80"/>
      <c r="B1754" s="142"/>
      <c r="C1754" s="78"/>
      <c r="D1754" s="78"/>
      <c r="E1754" s="78"/>
      <c r="F1754" s="78"/>
    </row>
    <row r="1755" ht="14.25" customHeight="1">
      <c r="A1755" s="80"/>
      <c r="B1755" s="142"/>
      <c r="C1755" s="78"/>
      <c r="D1755" s="78"/>
      <c r="E1755" s="78"/>
      <c r="F1755" s="78"/>
    </row>
    <row r="1756" ht="14.25" customHeight="1">
      <c r="A1756" s="80"/>
      <c r="B1756" s="142"/>
      <c r="C1756" s="78"/>
      <c r="D1756" s="78"/>
      <c r="E1756" s="78"/>
      <c r="F1756" s="78"/>
    </row>
    <row r="1757" ht="14.25" customHeight="1">
      <c r="A1757" s="80"/>
      <c r="B1757" s="142"/>
      <c r="C1757" s="78"/>
      <c r="D1757" s="78"/>
      <c r="E1757" s="78"/>
      <c r="F1757" s="78"/>
    </row>
    <row r="1758" ht="14.25" customHeight="1">
      <c r="A1758" s="80"/>
      <c r="B1758" s="142"/>
      <c r="C1758" s="78"/>
      <c r="D1758" s="78"/>
      <c r="E1758" s="78"/>
      <c r="F1758" s="78"/>
    </row>
    <row r="1759" ht="14.25" customHeight="1">
      <c r="A1759" s="80"/>
      <c r="B1759" s="142"/>
      <c r="C1759" s="78"/>
      <c r="D1759" s="78"/>
      <c r="E1759" s="78"/>
      <c r="F1759" s="78"/>
    </row>
    <row r="1760" ht="14.25" customHeight="1">
      <c r="A1760" s="80"/>
      <c r="B1760" s="142"/>
      <c r="C1760" s="78"/>
      <c r="D1760" s="78"/>
      <c r="E1760" s="78"/>
      <c r="F1760" s="78"/>
    </row>
    <row r="1761" ht="14.25" customHeight="1">
      <c r="A1761" s="80"/>
      <c r="B1761" s="142"/>
      <c r="C1761" s="78"/>
      <c r="D1761" s="78"/>
      <c r="E1761" s="78"/>
      <c r="F1761" s="78"/>
    </row>
    <row r="1762" ht="14.25" customHeight="1">
      <c r="A1762" s="80"/>
      <c r="B1762" s="142"/>
      <c r="C1762" s="78"/>
      <c r="D1762" s="78"/>
      <c r="E1762" s="78"/>
      <c r="F1762" s="78"/>
    </row>
    <row r="1763" ht="14.25" customHeight="1">
      <c r="A1763" s="80"/>
      <c r="B1763" s="142"/>
      <c r="C1763" s="78"/>
      <c r="D1763" s="78"/>
      <c r="E1763" s="78"/>
      <c r="F1763" s="78"/>
    </row>
    <row r="1764" ht="14.25" customHeight="1">
      <c r="A1764" s="80"/>
      <c r="B1764" s="142"/>
      <c r="C1764" s="78"/>
      <c r="D1764" s="78"/>
      <c r="E1764" s="78"/>
      <c r="F1764" s="78"/>
    </row>
    <row r="1765" ht="14.25" customHeight="1">
      <c r="A1765" s="80"/>
      <c r="B1765" s="142"/>
      <c r="C1765" s="78"/>
      <c r="D1765" s="78"/>
      <c r="E1765" s="78"/>
      <c r="F1765" s="78"/>
    </row>
    <row r="1766" ht="14.25" customHeight="1">
      <c r="A1766" s="80"/>
      <c r="B1766" s="142"/>
      <c r="C1766" s="78"/>
      <c r="D1766" s="78"/>
      <c r="E1766" s="78"/>
      <c r="F1766" s="78"/>
    </row>
    <row r="1767" ht="14.25" customHeight="1">
      <c r="A1767" s="80"/>
      <c r="B1767" s="142"/>
      <c r="C1767" s="78"/>
      <c r="D1767" s="78"/>
      <c r="E1767" s="78"/>
      <c r="F1767" s="78"/>
    </row>
    <row r="1768" ht="14.25" customHeight="1">
      <c r="A1768" s="80"/>
      <c r="B1768" s="142"/>
      <c r="C1768" s="78"/>
      <c r="D1768" s="78"/>
      <c r="E1768" s="78"/>
      <c r="F1768" s="78"/>
    </row>
    <row r="1769" ht="14.25" customHeight="1">
      <c r="A1769" s="80"/>
      <c r="B1769" s="142"/>
      <c r="C1769" s="78"/>
      <c r="D1769" s="78"/>
      <c r="E1769" s="78"/>
      <c r="F1769" s="78"/>
    </row>
    <row r="1770" ht="14.25" customHeight="1">
      <c r="A1770" s="80"/>
      <c r="B1770" s="142"/>
      <c r="C1770" s="78"/>
      <c r="D1770" s="78"/>
      <c r="E1770" s="78"/>
      <c r="F1770" s="78"/>
    </row>
    <row r="1771" ht="14.25" customHeight="1">
      <c r="A1771" s="80"/>
      <c r="B1771" s="142"/>
      <c r="C1771" s="78"/>
      <c r="D1771" s="78"/>
      <c r="E1771" s="78"/>
      <c r="F1771" s="78"/>
    </row>
    <row r="1772" ht="14.25" customHeight="1">
      <c r="A1772" s="80"/>
      <c r="B1772" s="142"/>
      <c r="C1772" s="78"/>
      <c r="D1772" s="78"/>
      <c r="E1772" s="78"/>
      <c r="F1772" s="78"/>
    </row>
    <row r="1773" ht="14.25" customHeight="1">
      <c r="A1773" s="80"/>
      <c r="B1773" s="142"/>
      <c r="C1773" s="78"/>
      <c r="D1773" s="78"/>
      <c r="E1773" s="78"/>
      <c r="F1773" s="78"/>
    </row>
    <row r="1774" ht="14.25" customHeight="1">
      <c r="A1774" s="80"/>
      <c r="B1774" s="142"/>
      <c r="C1774" s="78"/>
      <c r="D1774" s="78"/>
      <c r="E1774" s="78"/>
      <c r="F1774" s="78"/>
    </row>
    <row r="1775" ht="14.25" customHeight="1">
      <c r="A1775" s="80"/>
      <c r="B1775" s="142"/>
      <c r="C1775" s="78"/>
      <c r="D1775" s="78"/>
      <c r="E1775" s="78"/>
      <c r="F1775" s="78"/>
    </row>
    <row r="1776" ht="14.25" customHeight="1">
      <c r="A1776" s="80"/>
      <c r="B1776" s="142"/>
      <c r="C1776" s="78"/>
      <c r="D1776" s="78"/>
      <c r="E1776" s="78"/>
      <c r="F1776" s="78"/>
    </row>
    <row r="1777" ht="14.25" customHeight="1">
      <c r="A1777" s="80"/>
      <c r="B1777" s="142"/>
      <c r="C1777" s="78"/>
      <c r="D1777" s="78"/>
      <c r="E1777" s="78"/>
      <c r="F1777" s="78"/>
    </row>
    <row r="1778" ht="14.25" customHeight="1">
      <c r="A1778" s="80"/>
      <c r="B1778" s="142"/>
      <c r="C1778" s="78"/>
      <c r="D1778" s="78"/>
      <c r="E1778" s="78"/>
      <c r="F1778" s="78"/>
    </row>
    <row r="1779" ht="14.25" customHeight="1">
      <c r="A1779" s="80"/>
      <c r="B1779" s="142"/>
      <c r="C1779" s="78"/>
      <c r="D1779" s="78"/>
      <c r="E1779" s="78"/>
      <c r="F1779" s="78"/>
    </row>
    <row r="1780" ht="14.25" customHeight="1">
      <c r="A1780" s="80"/>
      <c r="B1780" s="142"/>
      <c r="C1780" s="78"/>
      <c r="D1780" s="78"/>
      <c r="E1780" s="78"/>
      <c r="F1780" s="78"/>
    </row>
    <row r="1781" ht="14.25" customHeight="1">
      <c r="A1781" s="80"/>
      <c r="B1781" s="142"/>
      <c r="C1781" s="78"/>
      <c r="D1781" s="78"/>
      <c r="E1781" s="78"/>
      <c r="F1781" s="78"/>
    </row>
    <row r="1782" ht="14.25" customHeight="1">
      <c r="A1782" s="80"/>
      <c r="B1782" s="142"/>
      <c r="C1782" s="78"/>
      <c r="D1782" s="78"/>
      <c r="E1782" s="78"/>
      <c r="F1782" s="78"/>
    </row>
    <row r="1783" ht="14.25" customHeight="1">
      <c r="A1783" s="80"/>
      <c r="B1783" s="142"/>
      <c r="C1783" s="78"/>
      <c r="D1783" s="78"/>
      <c r="E1783" s="78"/>
      <c r="F1783" s="78"/>
    </row>
    <row r="1784" ht="14.25" customHeight="1">
      <c r="A1784" s="80"/>
      <c r="B1784" s="142"/>
      <c r="C1784" s="78"/>
      <c r="D1784" s="78"/>
      <c r="E1784" s="78"/>
      <c r="F1784" s="78"/>
    </row>
    <row r="1785" ht="14.25" customHeight="1">
      <c r="A1785" s="80"/>
      <c r="B1785" s="142"/>
      <c r="C1785" s="78"/>
      <c r="D1785" s="78"/>
      <c r="E1785" s="78"/>
      <c r="F1785" s="78"/>
    </row>
    <row r="1786" ht="14.25" customHeight="1">
      <c r="A1786" s="80"/>
      <c r="B1786" s="142"/>
      <c r="C1786" s="78"/>
      <c r="D1786" s="78"/>
      <c r="E1786" s="78"/>
      <c r="F1786" s="78"/>
    </row>
    <row r="1787" ht="14.25" customHeight="1">
      <c r="A1787" s="80"/>
      <c r="B1787" s="142"/>
      <c r="C1787" s="78"/>
      <c r="D1787" s="78"/>
      <c r="E1787" s="78"/>
      <c r="F1787" s="78"/>
    </row>
    <row r="1788" ht="14.25" customHeight="1">
      <c r="A1788" s="80"/>
      <c r="B1788" s="142"/>
      <c r="C1788" s="78"/>
      <c r="D1788" s="78"/>
      <c r="E1788" s="78"/>
      <c r="F1788" s="78"/>
    </row>
    <row r="1789" ht="14.25" customHeight="1">
      <c r="A1789" s="80"/>
      <c r="B1789" s="142"/>
      <c r="C1789" s="78"/>
      <c r="D1789" s="78"/>
      <c r="E1789" s="78"/>
      <c r="F1789" s="78"/>
    </row>
    <row r="1790" ht="14.25" customHeight="1">
      <c r="A1790" s="80"/>
      <c r="B1790" s="142"/>
      <c r="C1790" s="78"/>
      <c r="D1790" s="78"/>
      <c r="E1790" s="78"/>
      <c r="F1790" s="78"/>
    </row>
    <row r="1791" ht="14.25" customHeight="1">
      <c r="A1791" s="80"/>
      <c r="B1791" s="142"/>
      <c r="C1791" s="78"/>
      <c r="D1791" s="78"/>
      <c r="E1791" s="78"/>
      <c r="F1791" s="78"/>
    </row>
    <row r="1792" ht="14.25" customHeight="1">
      <c r="A1792" s="80"/>
      <c r="B1792" s="142"/>
      <c r="C1792" s="78"/>
      <c r="D1792" s="78"/>
      <c r="E1792" s="78"/>
      <c r="F1792" s="78"/>
    </row>
    <row r="1793" ht="14.25" customHeight="1">
      <c r="A1793" s="80"/>
      <c r="B1793" s="142"/>
      <c r="C1793" s="78"/>
      <c r="D1793" s="78"/>
      <c r="E1793" s="78"/>
      <c r="F1793" s="78"/>
    </row>
    <row r="1794" ht="14.25" customHeight="1">
      <c r="A1794" s="80"/>
      <c r="B1794" s="142"/>
      <c r="C1794" s="78"/>
      <c r="D1794" s="78"/>
      <c r="E1794" s="78"/>
      <c r="F1794" s="78"/>
    </row>
    <row r="1795" ht="14.25" customHeight="1">
      <c r="A1795" s="80"/>
      <c r="B1795" s="142"/>
      <c r="C1795" s="78"/>
      <c r="D1795" s="78"/>
      <c r="E1795" s="78"/>
      <c r="F1795" s="78"/>
    </row>
    <row r="1796" ht="14.25" customHeight="1">
      <c r="A1796" s="80"/>
      <c r="B1796" s="142"/>
      <c r="C1796" s="78"/>
      <c r="D1796" s="78"/>
      <c r="E1796" s="78"/>
      <c r="F1796" s="78"/>
    </row>
    <row r="1797" ht="14.25" customHeight="1">
      <c r="A1797" s="80"/>
      <c r="B1797" s="142"/>
      <c r="C1797" s="78"/>
      <c r="D1797" s="78"/>
      <c r="E1797" s="78"/>
      <c r="F1797" s="78"/>
    </row>
    <row r="1798" ht="14.25" customHeight="1">
      <c r="A1798" s="80"/>
      <c r="B1798" s="142"/>
      <c r="C1798" s="78"/>
      <c r="D1798" s="78"/>
      <c r="E1798" s="78"/>
      <c r="F1798" s="78"/>
    </row>
    <row r="1799" ht="14.25" customHeight="1">
      <c r="A1799" s="80"/>
      <c r="B1799" s="142"/>
      <c r="C1799" s="78"/>
      <c r="D1799" s="78"/>
      <c r="E1799" s="78"/>
      <c r="F1799" s="78"/>
    </row>
    <row r="1800" ht="14.25" customHeight="1">
      <c r="A1800" s="80"/>
      <c r="B1800" s="142"/>
      <c r="C1800" s="78"/>
      <c r="D1800" s="78"/>
      <c r="E1800" s="78"/>
      <c r="F1800" s="78"/>
    </row>
    <row r="1801" ht="14.25" customHeight="1">
      <c r="A1801" s="80"/>
      <c r="B1801" s="142"/>
      <c r="C1801" s="78"/>
      <c r="D1801" s="78"/>
      <c r="E1801" s="78"/>
      <c r="F1801" s="78"/>
    </row>
    <row r="1802" ht="14.25" customHeight="1">
      <c r="A1802" s="80"/>
      <c r="B1802" s="142"/>
      <c r="C1802" s="78"/>
      <c r="D1802" s="78"/>
      <c r="E1802" s="78"/>
      <c r="F1802" s="78"/>
    </row>
    <row r="1803" ht="14.25" customHeight="1">
      <c r="A1803" s="80"/>
      <c r="B1803" s="142"/>
      <c r="C1803" s="78"/>
      <c r="D1803" s="78"/>
      <c r="E1803" s="78"/>
      <c r="F1803" s="78"/>
    </row>
    <row r="1804" ht="14.25" customHeight="1">
      <c r="A1804" s="80"/>
      <c r="B1804" s="142"/>
      <c r="C1804" s="78"/>
      <c r="D1804" s="78"/>
      <c r="E1804" s="78"/>
      <c r="F1804" s="78"/>
    </row>
    <row r="1805" ht="14.25" customHeight="1">
      <c r="A1805" s="80"/>
      <c r="B1805" s="142"/>
      <c r="C1805" s="78"/>
      <c r="D1805" s="78"/>
      <c r="E1805" s="78"/>
      <c r="F1805" s="78"/>
    </row>
    <row r="1806" ht="14.25" customHeight="1">
      <c r="A1806" s="80"/>
      <c r="B1806" s="142"/>
      <c r="C1806" s="78"/>
      <c r="D1806" s="78"/>
      <c r="E1806" s="78"/>
      <c r="F1806" s="78"/>
    </row>
    <row r="1807" ht="14.25" customHeight="1">
      <c r="A1807" s="80"/>
      <c r="B1807" s="142"/>
      <c r="C1807" s="78"/>
      <c r="D1807" s="78"/>
      <c r="E1807" s="78"/>
      <c r="F1807" s="78"/>
    </row>
    <row r="1808" ht="14.25" customHeight="1">
      <c r="A1808" s="80"/>
      <c r="B1808" s="142"/>
      <c r="C1808" s="78"/>
      <c r="D1808" s="78"/>
      <c r="E1808" s="78"/>
      <c r="F1808" s="78"/>
    </row>
    <row r="1809" ht="14.25" customHeight="1">
      <c r="A1809" s="80"/>
      <c r="B1809" s="142"/>
      <c r="C1809" s="78"/>
      <c r="D1809" s="78"/>
      <c r="E1809" s="78"/>
      <c r="F1809" s="78"/>
    </row>
    <row r="1810" ht="14.25" customHeight="1">
      <c r="A1810" s="80"/>
      <c r="B1810" s="142"/>
      <c r="C1810" s="78"/>
      <c r="D1810" s="78"/>
      <c r="E1810" s="78"/>
      <c r="F1810" s="78"/>
    </row>
    <row r="1811" ht="14.25" customHeight="1">
      <c r="A1811" s="80"/>
      <c r="B1811" s="142"/>
      <c r="C1811" s="78"/>
      <c r="D1811" s="78"/>
      <c r="E1811" s="78"/>
      <c r="F1811" s="78"/>
    </row>
    <row r="1812" ht="14.25" customHeight="1">
      <c r="A1812" s="80"/>
      <c r="B1812" s="142"/>
      <c r="C1812" s="78"/>
      <c r="D1812" s="78"/>
      <c r="E1812" s="78"/>
      <c r="F1812" s="78"/>
    </row>
    <row r="1813" ht="14.25" customHeight="1">
      <c r="A1813" s="80"/>
      <c r="B1813" s="142"/>
      <c r="C1813" s="78"/>
      <c r="D1813" s="78"/>
      <c r="E1813" s="78"/>
      <c r="F1813" s="78"/>
    </row>
    <row r="1814" ht="14.25" customHeight="1">
      <c r="A1814" s="80"/>
      <c r="B1814" s="142"/>
      <c r="C1814" s="78"/>
      <c r="D1814" s="78"/>
      <c r="E1814" s="78"/>
      <c r="F1814" s="78"/>
    </row>
    <row r="1815" ht="14.25" customHeight="1">
      <c r="A1815" s="80"/>
      <c r="B1815" s="142"/>
      <c r="C1815" s="78"/>
      <c r="D1815" s="78"/>
      <c r="E1815" s="78"/>
      <c r="F1815" s="78"/>
    </row>
    <row r="1816" ht="14.25" customHeight="1">
      <c r="A1816" s="80"/>
      <c r="B1816" s="142"/>
      <c r="C1816" s="78"/>
      <c r="D1816" s="78"/>
      <c r="E1816" s="78"/>
      <c r="F1816" s="78"/>
    </row>
    <row r="1817" ht="14.25" customHeight="1">
      <c r="A1817" s="80"/>
      <c r="B1817" s="142"/>
      <c r="C1817" s="78"/>
      <c r="D1817" s="78"/>
      <c r="E1817" s="78"/>
      <c r="F1817" s="78"/>
    </row>
    <row r="1818" ht="14.25" customHeight="1">
      <c r="A1818" s="80"/>
      <c r="B1818" s="142"/>
      <c r="C1818" s="78"/>
      <c r="D1818" s="78"/>
      <c r="E1818" s="78"/>
      <c r="F1818" s="78"/>
    </row>
    <row r="1819" ht="14.25" customHeight="1">
      <c r="A1819" s="80"/>
      <c r="B1819" s="142"/>
      <c r="C1819" s="78"/>
      <c r="D1819" s="78"/>
      <c r="E1819" s="78"/>
      <c r="F1819" s="78"/>
    </row>
    <row r="1820" ht="14.25" customHeight="1">
      <c r="A1820" s="80"/>
      <c r="B1820" s="142"/>
      <c r="C1820" s="78"/>
      <c r="D1820" s="78"/>
      <c r="E1820" s="78"/>
      <c r="F1820" s="78"/>
    </row>
    <row r="1821" ht="14.25" customHeight="1">
      <c r="A1821" s="80"/>
      <c r="B1821" s="142"/>
      <c r="C1821" s="78"/>
      <c r="D1821" s="78"/>
      <c r="E1821" s="78"/>
      <c r="F1821" s="78"/>
    </row>
    <row r="1822" ht="14.25" customHeight="1">
      <c r="A1822" s="80"/>
      <c r="B1822" s="142"/>
      <c r="C1822" s="78"/>
      <c r="D1822" s="78"/>
      <c r="E1822" s="78"/>
      <c r="F1822" s="78"/>
    </row>
    <row r="1823" ht="14.25" customHeight="1">
      <c r="A1823" s="80"/>
      <c r="B1823" s="142"/>
      <c r="C1823" s="78"/>
      <c r="D1823" s="78"/>
      <c r="E1823" s="78"/>
      <c r="F1823" s="78"/>
    </row>
    <row r="1824" ht="14.25" customHeight="1">
      <c r="A1824" s="80"/>
      <c r="B1824" s="142"/>
      <c r="C1824" s="78"/>
      <c r="D1824" s="78"/>
      <c r="E1824" s="78"/>
      <c r="F1824" s="78"/>
    </row>
    <row r="1825" ht="14.25" customHeight="1">
      <c r="A1825" s="80"/>
      <c r="B1825" s="142"/>
      <c r="C1825" s="78"/>
      <c r="D1825" s="78"/>
      <c r="E1825" s="78"/>
      <c r="F1825" s="78"/>
    </row>
    <row r="1826" ht="14.25" customHeight="1">
      <c r="A1826" s="80"/>
      <c r="B1826" s="142"/>
      <c r="C1826" s="78"/>
      <c r="D1826" s="78"/>
      <c r="E1826" s="78"/>
      <c r="F1826" s="78"/>
    </row>
    <row r="1827" ht="14.25" customHeight="1">
      <c r="A1827" s="80"/>
      <c r="B1827" s="142"/>
      <c r="C1827" s="78"/>
      <c r="D1827" s="78"/>
      <c r="E1827" s="78"/>
      <c r="F1827" s="78"/>
    </row>
    <row r="1828" ht="14.25" customHeight="1">
      <c r="A1828" s="80"/>
      <c r="B1828" s="142"/>
      <c r="C1828" s="78"/>
      <c r="D1828" s="78"/>
      <c r="E1828" s="78"/>
      <c r="F1828" s="78"/>
    </row>
    <row r="1829" ht="14.25" customHeight="1">
      <c r="A1829" s="80"/>
      <c r="B1829" s="142"/>
      <c r="C1829" s="78"/>
      <c r="D1829" s="78"/>
      <c r="E1829" s="78"/>
      <c r="F1829" s="78"/>
    </row>
    <row r="1830" ht="14.25" customHeight="1">
      <c r="A1830" s="80"/>
      <c r="B1830" s="142"/>
      <c r="C1830" s="78"/>
      <c r="D1830" s="78"/>
      <c r="E1830" s="78"/>
      <c r="F1830" s="78"/>
    </row>
    <row r="1831" ht="14.25" customHeight="1">
      <c r="A1831" s="80"/>
      <c r="B1831" s="142"/>
      <c r="C1831" s="78"/>
      <c r="D1831" s="78"/>
      <c r="E1831" s="78"/>
      <c r="F1831" s="78"/>
    </row>
    <row r="1832" ht="14.25" customHeight="1">
      <c r="A1832" s="80"/>
      <c r="B1832" s="142"/>
      <c r="C1832" s="78"/>
      <c r="D1832" s="78"/>
      <c r="E1832" s="78"/>
      <c r="F1832" s="78"/>
    </row>
    <row r="1833" ht="14.25" customHeight="1">
      <c r="A1833" s="80"/>
      <c r="B1833" s="142"/>
      <c r="C1833" s="78"/>
      <c r="D1833" s="78"/>
      <c r="E1833" s="78"/>
      <c r="F1833" s="78"/>
    </row>
    <row r="1834" ht="14.25" customHeight="1">
      <c r="A1834" s="80"/>
      <c r="B1834" s="142"/>
      <c r="C1834" s="78"/>
      <c r="D1834" s="78"/>
      <c r="E1834" s="78"/>
      <c r="F1834" s="78"/>
    </row>
    <row r="1835" ht="14.25" customHeight="1">
      <c r="A1835" s="80"/>
      <c r="B1835" s="142"/>
      <c r="C1835" s="78"/>
      <c r="D1835" s="78"/>
      <c r="E1835" s="78"/>
      <c r="F1835" s="78"/>
    </row>
    <row r="1836" ht="14.25" customHeight="1">
      <c r="A1836" s="80"/>
      <c r="B1836" s="142"/>
      <c r="C1836" s="78"/>
      <c r="D1836" s="78"/>
      <c r="E1836" s="78"/>
      <c r="F1836" s="78"/>
    </row>
    <row r="1837" ht="14.25" customHeight="1">
      <c r="A1837" s="80"/>
      <c r="B1837" s="142"/>
      <c r="C1837" s="78"/>
      <c r="D1837" s="78"/>
      <c r="E1837" s="78"/>
      <c r="F1837" s="78"/>
    </row>
    <row r="1838" ht="14.25" customHeight="1">
      <c r="A1838" s="80"/>
      <c r="B1838" s="142"/>
      <c r="C1838" s="78"/>
      <c r="D1838" s="78"/>
      <c r="E1838" s="78"/>
      <c r="F1838" s="78"/>
    </row>
    <row r="1839" ht="14.25" customHeight="1">
      <c r="A1839" s="80"/>
      <c r="B1839" s="142"/>
      <c r="C1839" s="78"/>
      <c r="D1839" s="78"/>
      <c r="E1839" s="78"/>
      <c r="F1839" s="78"/>
    </row>
    <row r="1840" ht="14.25" customHeight="1">
      <c r="A1840" s="80"/>
      <c r="B1840" s="142"/>
      <c r="C1840" s="78"/>
      <c r="D1840" s="78"/>
      <c r="E1840" s="78"/>
      <c r="F1840" s="78"/>
    </row>
    <row r="1841" ht="14.25" customHeight="1">
      <c r="A1841" s="80"/>
      <c r="B1841" s="142"/>
      <c r="C1841" s="78"/>
      <c r="D1841" s="78"/>
      <c r="E1841" s="78"/>
      <c r="F1841" s="78"/>
    </row>
    <row r="1842" ht="14.25" customHeight="1">
      <c r="A1842" s="80"/>
      <c r="B1842" s="142"/>
      <c r="C1842" s="78"/>
      <c r="D1842" s="78"/>
      <c r="E1842" s="78"/>
      <c r="F1842" s="78"/>
    </row>
    <row r="1843" ht="14.25" customHeight="1">
      <c r="A1843" s="80"/>
      <c r="B1843" s="142"/>
      <c r="C1843" s="78"/>
      <c r="D1843" s="78"/>
      <c r="E1843" s="78"/>
      <c r="F1843" s="78"/>
    </row>
    <row r="1844" ht="14.25" customHeight="1">
      <c r="A1844" s="80"/>
      <c r="B1844" s="142"/>
      <c r="C1844" s="78"/>
      <c r="D1844" s="78"/>
      <c r="E1844" s="78"/>
      <c r="F1844" s="78"/>
    </row>
    <row r="1845" ht="14.25" customHeight="1">
      <c r="A1845" s="80"/>
      <c r="B1845" s="142"/>
      <c r="C1845" s="78"/>
      <c r="D1845" s="78"/>
      <c r="E1845" s="78"/>
      <c r="F1845" s="78"/>
    </row>
    <row r="1846" ht="14.25" customHeight="1">
      <c r="A1846" s="80"/>
      <c r="B1846" s="142"/>
      <c r="C1846" s="78"/>
      <c r="D1846" s="78"/>
      <c r="E1846" s="78"/>
      <c r="F1846" s="78"/>
    </row>
    <row r="1847" ht="14.25" customHeight="1">
      <c r="A1847" s="80"/>
      <c r="B1847" s="142"/>
      <c r="C1847" s="78"/>
      <c r="D1847" s="78"/>
      <c r="E1847" s="78"/>
      <c r="F1847" s="78"/>
    </row>
    <row r="1848" ht="14.25" customHeight="1">
      <c r="A1848" s="80"/>
      <c r="B1848" s="142"/>
      <c r="C1848" s="78"/>
      <c r="D1848" s="78"/>
      <c r="E1848" s="78"/>
      <c r="F1848" s="78"/>
    </row>
    <row r="1849" ht="14.25" customHeight="1">
      <c r="A1849" s="80"/>
      <c r="B1849" s="142"/>
      <c r="C1849" s="78"/>
      <c r="D1849" s="78"/>
      <c r="E1849" s="78"/>
      <c r="F1849" s="78"/>
    </row>
    <row r="1850" ht="14.25" customHeight="1">
      <c r="A1850" s="80"/>
      <c r="B1850" s="142"/>
      <c r="C1850" s="78"/>
      <c r="D1850" s="78"/>
      <c r="E1850" s="78"/>
      <c r="F1850" s="78"/>
    </row>
    <row r="1851" ht="14.25" customHeight="1">
      <c r="A1851" s="80"/>
      <c r="B1851" s="142"/>
      <c r="C1851" s="78"/>
      <c r="D1851" s="78"/>
      <c r="E1851" s="78"/>
      <c r="F1851" s="78"/>
    </row>
    <row r="1852" ht="14.25" customHeight="1">
      <c r="A1852" s="80"/>
      <c r="B1852" s="142"/>
      <c r="C1852" s="78"/>
      <c r="D1852" s="78"/>
      <c r="E1852" s="78"/>
      <c r="F1852" s="78"/>
    </row>
    <row r="1853" ht="14.25" customHeight="1">
      <c r="A1853" s="80"/>
      <c r="B1853" s="142"/>
      <c r="C1853" s="78"/>
      <c r="D1853" s="78"/>
      <c r="E1853" s="78"/>
      <c r="F1853" s="78"/>
    </row>
    <row r="1854" ht="14.25" customHeight="1">
      <c r="A1854" s="80"/>
      <c r="B1854" s="142"/>
      <c r="C1854" s="78"/>
      <c r="D1854" s="78"/>
      <c r="E1854" s="78"/>
      <c r="F1854" s="78"/>
    </row>
    <row r="1855" ht="14.25" customHeight="1">
      <c r="A1855" s="80"/>
      <c r="B1855" s="142"/>
      <c r="C1855" s="78"/>
      <c r="D1855" s="78"/>
      <c r="E1855" s="78"/>
      <c r="F1855" s="78"/>
    </row>
    <row r="1856" ht="14.25" customHeight="1">
      <c r="A1856" s="80"/>
      <c r="B1856" s="142"/>
      <c r="C1856" s="78"/>
      <c r="D1856" s="78"/>
      <c r="E1856" s="78"/>
      <c r="F1856" s="78"/>
    </row>
    <row r="1857" ht="14.25" customHeight="1">
      <c r="A1857" s="80"/>
      <c r="B1857" s="142"/>
      <c r="C1857" s="78"/>
      <c r="D1857" s="78"/>
      <c r="E1857" s="78"/>
      <c r="F1857" s="78"/>
    </row>
    <row r="1858" ht="14.25" customHeight="1">
      <c r="A1858" s="80"/>
      <c r="B1858" s="142"/>
      <c r="C1858" s="78"/>
      <c r="D1858" s="78"/>
      <c r="E1858" s="78"/>
      <c r="F1858" s="78"/>
    </row>
    <row r="1859" ht="14.25" customHeight="1">
      <c r="A1859" s="80"/>
      <c r="B1859" s="142"/>
      <c r="C1859" s="78"/>
      <c r="D1859" s="78"/>
      <c r="E1859" s="78"/>
      <c r="F1859" s="78"/>
    </row>
    <row r="1860" ht="14.25" customHeight="1">
      <c r="A1860" s="80"/>
      <c r="B1860" s="142"/>
      <c r="C1860" s="78"/>
      <c r="D1860" s="78"/>
      <c r="E1860" s="78"/>
      <c r="F1860" s="78"/>
    </row>
    <row r="1861" ht="14.25" customHeight="1">
      <c r="A1861" s="80"/>
      <c r="B1861" s="142"/>
      <c r="C1861" s="78"/>
      <c r="D1861" s="78"/>
      <c r="E1861" s="78"/>
      <c r="F1861" s="78"/>
    </row>
    <row r="1862" ht="14.25" customHeight="1">
      <c r="A1862" s="80"/>
      <c r="B1862" s="142"/>
      <c r="C1862" s="78"/>
      <c r="D1862" s="78"/>
      <c r="E1862" s="78"/>
      <c r="F1862" s="78"/>
    </row>
    <row r="1863" ht="14.25" customHeight="1">
      <c r="A1863" s="80"/>
      <c r="B1863" s="142"/>
      <c r="C1863" s="78"/>
      <c r="D1863" s="78"/>
      <c r="E1863" s="78"/>
      <c r="F1863" s="78"/>
    </row>
    <row r="1864" ht="14.25" customHeight="1">
      <c r="A1864" s="80"/>
      <c r="B1864" s="142"/>
      <c r="C1864" s="78"/>
      <c r="D1864" s="78"/>
      <c r="E1864" s="78"/>
      <c r="F1864" s="78"/>
    </row>
    <row r="1865" ht="14.25" customHeight="1">
      <c r="A1865" s="80"/>
      <c r="B1865" s="142"/>
      <c r="C1865" s="78"/>
      <c r="D1865" s="78"/>
      <c r="E1865" s="78"/>
      <c r="F1865" s="78"/>
    </row>
    <row r="1866" ht="14.25" customHeight="1">
      <c r="A1866" s="80"/>
      <c r="B1866" s="142"/>
      <c r="C1866" s="78"/>
      <c r="D1866" s="78"/>
      <c r="E1866" s="78"/>
      <c r="F1866" s="78"/>
    </row>
    <row r="1867" ht="14.25" customHeight="1">
      <c r="A1867" s="80"/>
      <c r="B1867" s="142"/>
      <c r="C1867" s="78"/>
      <c r="D1867" s="78"/>
      <c r="E1867" s="78"/>
      <c r="F1867" s="78"/>
    </row>
    <row r="1868" ht="14.25" customHeight="1">
      <c r="A1868" s="80"/>
      <c r="B1868" s="142"/>
      <c r="C1868" s="78"/>
      <c r="D1868" s="78"/>
      <c r="E1868" s="78"/>
      <c r="F1868" s="78"/>
    </row>
    <row r="1869" ht="14.25" customHeight="1">
      <c r="A1869" s="80"/>
      <c r="B1869" s="142"/>
      <c r="C1869" s="78"/>
      <c r="D1869" s="78"/>
      <c r="E1869" s="78"/>
      <c r="F1869" s="78"/>
    </row>
    <row r="1870" ht="14.25" customHeight="1">
      <c r="A1870" s="80"/>
      <c r="B1870" s="142"/>
      <c r="C1870" s="78"/>
      <c r="D1870" s="78"/>
      <c r="E1870" s="78"/>
      <c r="F1870" s="78"/>
    </row>
    <row r="1871" ht="14.25" customHeight="1">
      <c r="A1871" s="80"/>
      <c r="B1871" s="142"/>
      <c r="C1871" s="78"/>
      <c r="D1871" s="78"/>
      <c r="E1871" s="78"/>
      <c r="F1871" s="78"/>
    </row>
    <row r="1872" ht="14.25" customHeight="1">
      <c r="A1872" s="80"/>
      <c r="B1872" s="142"/>
      <c r="C1872" s="78"/>
      <c r="D1872" s="78"/>
      <c r="E1872" s="78"/>
      <c r="F1872" s="78"/>
    </row>
    <row r="1873" ht="14.25" customHeight="1">
      <c r="A1873" s="80"/>
      <c r="B1873" s="142"/>
      <c r="C1873" s="78"/>
      <c r="D1873" s="78"/>
      <c r="E1873" s="78"/>
      <c r="F1873" s="78"/>
    </row>
    <row r="1874" ht="14.25" customHeight="1">
      <c r="A1874" s="80"/>
      <c r="B1874" s="142"/>
      <c r="C1874" s="78"/>
      <c r="D1874" s="78"/>
      <c r="E1874" s="78"/>
      <c r="F1874" s="78"/>
    </row>
    <row r="1875" ht="14.25" customHeight="1">
      <c r="A1875" s="80"/>
      <c r="B1875" s="142"/>
      <c r="C1875" s="78"/>
      <c r="D1875" s="78"/>
      <c r="E1875" s="78"/>
      <c r="F1875" s="78"/>
    </row>
    <row r="1876" ht="14.25" customHeight="1">
      <c r="A1876" s="80"/>
      <c r="B1876" s="142"/>
      <c r="C1876" s="78"/>
      <c r="D1876" s="78"/>
      <c r="E1876" s="78"/>
      <c r="F1876" s="78"/>
    </row>
    <row r="1877" ht="14.25" customHeight="1">
      <c r="A1877" s="80"/>
      <c r="B1877" s="142"/>
      <c r="C1877" s="78"/>
      <c r="D1877" s="78"/>
      <c r="E1877" s="78"/>
      <c r="F1877" s="78"/>
    </row>
    <row r="1878" ht="14.25" customHeight="1">
      <c r="A1878" s="80"/>
      <c r="B1878" s="142"/>
      <c r="C1878" s="78"/>
      <c r="D1878" s="78"/>
      <c r="E1878" s="78"/>
      <c r="F1878" s="78"/>
    </row>
    <row r="1879" ht="14.25" customHeight="1">
      <c r="A1879" s="80"/>
      <c r="B1879" s="142"/>
      <c r="C1879" s="78"/>
      <c r="D1879" s="78"/>
      <c r="E1879" s="78"/>
      <c r="F1879" s="78"/>
    </row>
    <row r="1880" ht="14.25" customHeight="1">
      <c r="A1880" s="80"/>
      <c r="B1880" s="142"/>
      <c r="C1880" s="78"/>
      <c r="D1880" s="78"/>
      <c r="E1880" s="78"/>
      <c r="F1880" s="78"/>
    </row>
    <row r="1881" ht="14.25" customHeight="1">
      <c r="A1881" s="80"/>
      <c r="B1881" s="142"/>
      <c r="C1881" s="78"/>
      <c r="D1881" s="78"/>
      <c r="E1881" s="78"/>
      <c r="F1881" s="78"/>
    </row>
    <row r="1882" ht="14.25" customHeight="1">
      <c r="A1882" s="80"/>
      <c r="B1882" s="142"/>
      <c r="C1882" s="78"/>
      <c r="D1882" s="78"/>
      <c r="E1882" s="78"/>
      <c r="F1882" s="78"/>
    </row>
    <row r="1883" ht="14.25" customHeight="1">
      <c r="A1883" s="80"/>
      <c r="B1883" s="142"/>
      <c r="C1883" s="78"/>
      <c r="D1883" s="78"/>
      <c r="E1883" s="78"/>
      <c r="F1883" s="78"/>
    </row>
    <row r="1884" ht="14.25" customHeight="1">
      <c r="A1884" s="80"/>
      <c r="B1884" s="142"/>
      <c r="C1884" s="78"/>
      <c r="D1884" s="78"/>
      <c r="E1884" s="78"/>
      <c r="F1884" s="78"/>
    </row>
    <row r="1885" ht="14.25" customHeight="1">
      <c r="A1885" s="80"/>
      <c r="B1885" s="142"/>
      <c r="C1885" s="78"/>
      <c r="D1885" s="78"/>
      <c r="E1885" s="78"/>
      <c r="F1885" s="78"/>
    </row>
    <row r="1886" ht="14.25" customHeight="1">
      <c r="A1886" s="80"/>
      <c r="B1886" s="142"/>
      <c r="C1886" s="78"/>
      <c r="D1886" s="78"/>
      <c r="E1886" s="78"/>
      <c r="F1886" s="78"/>
    </row>
    <row r="1887" ht="14.25" customHeight="1">
      <c r="A1887" s="80"/>
      <c r="B1887" s="142"/>
      <c r="C1887" s="78"/>
      <c r="D1887" s="78"/>
      <c r="E1887" s="78"/>
      <c r="F1887" s="78"/>
    </row>
    <row r="1888" ht="14.25" customHeight="1">
      <c r="A1888" s="80"/>
      <c r="B1888" s="142"/>
      <c r="C1888" s="78"/>
      <c r="D1888" s="78"/>
      <c r="E1888" s="78"/>
      <c r="F1888" s="78"/>
    </row>
    <row r="1889" ht="14.25" customHeight="1">
      <c r="A1889" s="80"/>
      <c r="B1889" s="142"/>
      <c r="C1889" s="78"/>
      <c r="D1889" s="78"/>
      <c r="E1889" s="78"/>
      <c r="F1889" s="78"/>
    </row>
    <row r="1890" ht="14.25" customHeight="1">
      <c r="A1890" s="80"/>
      <c r="B1890" s="142"/>
      <c r="C1890" s="78"/>
      <c r="D1890" s="78"/>
      <c r="E1890" s="78"/>
      <c r="F1890" s="78"/>
    </row>
    <row r="1891" ht="14.25" customHeight="1">
      <c r="A1891" s="80"/>
      <c r="B1891" s="142"/>
      <c r="C1891" s="78"/>
      <c r="D1891" s="78"/>
      <c r="E1891" s="78"/>
      <c r="F1891" s="78"/>
    </row>
    <row r="1892" ht="14.25" customHeight="1">
      <c r="A1892" s="80"/>
      <c r="B1892" s="142"/>
      <c r="C1892" s="78"/>
      <c r="D1892" s="78"/>
      <c r="E1892" s="78"/>
      <c r="F1892" s="78"/>
    </row>
    <row r="1893" ht="14.25" customHeight="1">
      <c r="A1893" s="80"/>
      <c r="B1893" s="142"/>
      <c r="C1893" s="78"/>
      <c r="D1893" s="78"/>
      <c r="E1893" s="78"/>
      <c r="F1893" s="78"/>
    </row>
    <row r="1894" ht="14.25" customHeight="1">
      <c r="A1894" s="80"/>
      <c r="B1894" s="142"/>
      <c r="C1894" s="78"/>
      <c r="D1894" s="78"/>
      <c r="E1894" s="78"/>
      <c r="F1894" s="78"/>
    </row>
    <row r="1895" ht="14.25" customHeight="1">
      <c r="A1895" s="80"/>
      <c r="B1895" s="142"/>
      <c r="C1895" s="78"/>
      <c r="D1895" s="78"/>
      <c r="E1895" s="78"/>
      <c r="F1895" s="78"/>
    </row>
    <row r="1896" ht="14.25" customHeight="1">
      <c r="A1896" s="80"/>
      <c r="B1896" s="142"/>
      <c r="C1896" s="78"/>
      <c r="D1896" s="78"/>
      <c r="E1896" s="78"/>
      <c r="F1896" s="78"/>
    </row>
    <row r="1897" ht="14.25" customHeight="1">
      <c r="A1897" s="80"/>
      <c r="B1897" s="142"/>
      <c r="C1897" s="78"/>
      <c r="D1897" s="78"/>
      <c r="E1897" s="78"/>
      <c r="F1897" s="78"/>
    </row>
    <row r="1898" ht="14.25" customHeight="1">
      <c r="A1898" s="80"/>
      <c r="B1898" s="142"/>
      <c r="C1898" s="78"/>
      <c r="D1898" s="78"/>
      <c r="E1898" s="78"/>
      <c r="F1898" s="78"/>
    </row>
    <row r="1899" ht="14.25" customHeight="1">
      <c r="A1899" s="80"/>
      <c r="B1899" s="142"/>
      <c r="C1899" s="78"/>
      <c r="D1899" s="78"/>
      <c r="E1899" s="78"/>
      <c r="F1899" s="78"/>
    </row>
    <row r="1900" ht="14.25" customHeight="1">
      <c r="A1900" s="80"/>
      <c r="B1900" s="142"/>
      <c r="C1900" s="78"/>
      <c r="D1900" s="78"/>
      <c r="E1900" s="78"/>
      <c r="F1900" s="78"/>
    </row>
    <row r="1901" ht="14.25" customHeight="1">
      <c r="A1901" s="80"/>
      <c r="B1901" s="142"/>
      <c r="C1901" s="78"/>
      <c r="D1901" s="78"/>
      <c r="E1901" s="78"/>
      <c r="F1901" s="78"/>
    </row>
    <row r="1902" ht="14.25" customHeight="1">
      <c r="A1902" s="80"/>
      <c r="B1902" s="142"/>
      <c r="C1902" s="78"/>
      <c r="D1902" s="78"/>
      <c r="E1902" s="78"/>
      <c r="F1902" s="78"/>
    </row>
    <row r="1903" ht="14.25" customHeight="1">
      <c r="A1903" s="80"/>
      <c r="B1903" s="142"/>
      <c r="C1903" s="78"/>
      <c r="D1903" s="78"/>
      <c r="E1903" s="78"/>
      <c r="F1903" s="78"/>
    </row>
    <row r="1904" ht="14.25" customHeight="1">
      <c r="A1904" s="80"/>
      <c r="B1904" s="142"/>
      <c r="C1904" s="78"/>
      <c r="D1904" s="78"/>
      <c r="E1904" s="78"/>
      <c r="F1904" s="78"/>
    </row>
    <row r="1905" ht="14.25" customHeight="1">
      <c r="A1905" s="80"/>
      <c r="B1905" s="142"/>
      <c r="C1905" s="78"/>
      <c r="D1905" s="78"/>
      <c r="E1905" s="78"/>
      <c r="F1905" s="78"/>
    </row>
    <row r="1906" ht="14.25" customHeight="1">
      <c r="A1906" s="80"/>
      <c r="B1906" s="142"/>
      <c r="C1906" s="78"/>
      <c r="D1906" s="78"/>
      <c r="E1906" s="78"/>
      <c r="F1906" s="78"/>
    </row>
    <row r="1907" ht="14.25" customHeight="1">
      <c r="A1907" s="80"/>
      <c r="B1907" s="142"/>
      <c r="C1907" s="78"/>
      <c r="D1907" s="78"/>
      <c r="E1907" s="78"/>
      <c r="F1907" s="78"/>
    </row>
    <row r="1908" ht="14.25" customHeight="1">
      <c r="A1908" s="80"/>
      <c r="B1908" s="142"/>
      <c r="C1908" s="78"/>
      <c r="D1908" s="78"/>
      <c r="E1908" s="78"/>
      <c r="F1908" s="78"/>
    </row>
    <row r="1909" ht="14.25" customHeight="1">
      <c r="A1909" s="80"/>
      <c r="B1909" s="142"/>
      <c r="C1909" s="78"/>
      <c r="D1909" s="78"/>
      <c r="E1909" s="78"/>
      <c r="F1909" s="78"/>
    </row>
    <row r="1910" ht="14.25" customHeight="1">
      <c r="A1910" s="80"/>
      <c r="B1910" s="142"/>
      <c r="C1910" s="78"/>
      <c r="D1910" s="78"/>
      <c r="E1910" s="78"/>
      <c r="F1910" s="78"/>
    </row>
    <row r="1911" ht="14.25" customHeight="1">
      <c r="A1911" s="80"/>
      <c r="B1911" s="142"/>
      <c r="C1911" s="78"/>
      <c r="D1911" s="78"/>
      <c r="E1911" s="78"/>
      <c r="F1911" s="78"/>
    </row>
    <row r="1912" ht="14.25" customHeight="1">
      <c r="A1912" s="80"/>
      <c r="B1912" s="142"/>
      <c r="C1912" s="78"/>
      <c r="D1912" s="78"/>
      <c r="E1912" s="78"/>
      <c r="F1912" s="78"/>
    </row>
    <row r="1913" ht="14.25" customHeight="1">
      <c r="A1913" s="80"/>
      <c r="B1913" s="142"/>
      <c r="C1913" s="78"/>
      <c r="D1913" s="78"/>
      <c r="E1913" s="78"/>
      <c r="F1913" s="78"/>
    </row>
    <row r="1914" ht="14.25" customHeight="1">
      <c r="A1914" s="80"/>
      <c r="B1914" s="142"/>
      <c r="C1914" s="78"/>
      <c r="D1914" s="78"/>
      <c r="E1914" s="78"/>
      <c r="F1914" s="78"/>
    </row>
    <row r="1915" ht="14.25" customHeight="1">
      <c r="A1915" s="80"/>
      <c r="B1915" s="142"/>
      <c r="C1915" s="78"/>
      <c r="D1915" s="78"/>
      <c r="E1915" s="78"/>
      <c r="F1915" s="78"/>
    </row>
    <row r="1916" ht="14.25" customHeight="1">
      <c r="A1916" s="80"/>
      <c r="B1916" s="142"/>
      <c r="C1916" s="78"/>
      <c r="D1916" s="78"/>
      <c r="E1916" s="78"/>
      <c r="F1916" s="78"/>
    </row>
    <row r="1917" ht="14.25" customHeight="1">
      <c r="A1917" s="80"/>
      <c r="B1917" s="142"/>
      <c r="C1917" s="78"/>
      <c r="D1917" s="78"/>
      <c r="E1917" s="78"/>
      <c r="F1917" s="78"/>
    </row>
    <row r="1918" ht="14.25" customHeight="1">
      <c r="A1918" s="80"/>
      <c r="B1918" s="142"/>
      <c r="C1918" s="78"/>
      <c r="D1918" s="78"/>
      <c r="E1918" s="78"/>
      <c r="F1918" s="78"/>
    </row>
    <row r="1919" ht="14.25" customHeight="1">
      <c r="A1919" s="80"/>
      <c r="B1919" s="142"/>
      <c r="C1919" s="78"/>
      <c r="D1919" s="78"/>
      <c r="E1919" s="78"/>
      <c r="F1919" s="78"/>
    </row>
    <row r="1920" ht="14.25" customHeight="1">
      <c r="A1920" s="80"/>
      <c r="B1920" s="142"/>
      <c r="C1920" s="78"/>
      <c r="D1920" s="78"/>
      <c r="E1920" s="78"/>
      <c r="F1920" s="78"/>
    </row>
    <row r="1921" ht="14.25" customHeight="1">
      <c r="A1921" s="80"/>
      <c r="B1921" s="142"/>
      <c r="C1921" s="78"/>
      <c r="D1921" s="78"/>
      <c r="E1921" s="78"/>
      <c r="F1921" s="78"/>
    </row>
    <row r="1922" ht="14.25" customHeight="1">
      <c r="A1922" s="80"/>
      <c r="B1922" s="142"/>
      <c r="C1922" s="78"/>
      <c r="D1922" s="78"/>
      <c r="E1922" s="78"/>
      <c r="F1922" s="78"/>
    </row>
    <row r="1923" ht="14.25" customHeight="1">
      <c r="A1923" s="80"/>
      <c r="B1923" s="142"/>
      <c r="C1923" s="78"/>
      <c r="D1923" s="78"/>
      <c r="E1923" s="78"/>
      <c r="F1923" s="78"/>
    </row>
    <row r="1924" ht="14.25" customHeight="1">
      <c r="A1924" s="80"/>
      <c r="B1924" s="142"/>
      <c r="C1924" s="78"/>
      <c r="D1924" s="78"/>
      <c r="E1924" s="78"/>
      <c r="F1924" s="78"/>
    </row>
    <row r="1925" ht="14.25" customHeight="1">
      <c r="A1925" s="80"/>
      <c r="B1925" s="142"/>
      <c r="C1925" s="78"/>
      <c r="D1925" s="78"/>
      <c r="E1925" s="78"/>
      <c r="F1925" s="78"/>
    </row>
    <row r="1926" ht="14.25" customHeight="1">
      <c r="A1926" s="80"/>
      <c r="B1926" s="142"/>
      <c r="C1926" s="78"/>
      <c r="D1926" s="78"/>
      <c r="E1926" s="78"/>
      <c r="F1926" s="78"/>
    </row>
    <row r="1927" ht="14.25" customHeight="1">
      <c r="A1927" s="80"/>
      <c r="B1927" s="142"/>
      <c r="C1927" s="78"/>
      <c r="D1927" s="78"/>
      <c r="E1927" s="78"/>
      <c r="F1927" s="78"/>
    </row>
    <row r="1928" ht="14.25" customHeight="1">
      <c r="A1928" s="80"/>
      <c r="B1928" s="142"/>
      <c r="C1928" s="78"/>
      <c r="D1928" s="78"/>
      <c r="E1928" s="78"/>
      <c r="F1928" s="78"/>
    </row>
    <row r="1929" ht="14.25" customHeight="1">
      <c r="A1929" s="80"/>
      <c r="B1929" s="142"/>
      <c r="C1929" s="78"/>
      <c r="D1929" s="78"/>
      <c r="E1929" s="78"/>
      <c r="F1929" s="78"/>
    </row>
    <row r="1930" ht="14.25" customHeight="1">
      <c r="A1930" s="80"/>
      <c r="B1930" s="142"/>
      <c r="C1930" s="78"/>
      <c r="D1930" s="78"/>
      <c r="E1930" s="78"/>
      <c r="F1930" s="78"/>
    </row>
    <row r="1931" ht="14.25" customHeight="1">
      <c r="A1931" s="80"/>
      <c r="B1931" s="142"/>
      <c r="C1931" s="78"/>
      <c r="D1931" s="78"/>
      <c r="E1931" s="78"/>
      <c r="F1931" s="78"/>
    </row>
    <row r="1932" ht="14.25" customHeight="1">
      <c r="A1932" s="80"/>
      <c r="B1932" s="142"/>
      <c r="C1932" s="78"/>
      <c r="D1932" s="78"/>
      <c r="E1932" s="78"/>
      <c r="F1932" s="78"/>
    </row>
    <row r="1933" ht="14.25" customHeight="1">
      <c r="A1933" s="80"/>
      <c r="B1933" s="142"/>
      <c r="C1933" s="78"/>
      <c r="D1933" s="78"/>
      <c r="E1933" s="78"/>
      <c r="F1933" s="78"/>
    </row>
    <row r="1934" ht="14.25" customHeight="1">
      <c r="A1934" s="80"/>
      <c r="B1934" s="142"/>
      <c r="C1934" s="78"/>
      <c r="D1934" s="78"/>
      <c r="E1934" s="78"/>
      <c r="F1934" s="78"/>
    </row>
    <row r="1935" ht="14.25" customHeight="1">
      <c r="A1935" s="80"/>
      <c r="B1935" s="142"/>
      <c r="C1935" s="78"/>
      <c r="D1935" s="78"/>
      <c r="E1935" s="78"/>
      <c r="F1935" s="78"/>
    </row>
    <row r="1936" ht="14.25" customHeight="1">
      <c r="A1936" s="80"/>
      <c r="B1936" s="142"/>
      <c r="C1936" s="78"/>
      <c r="D1936" s="78"/>
      <c r="E1936" s="78"/>
      <c r="F1936" s="78"/>
    </row>
    <row r="1937" ht="14.25" customHeight="1">
      <c r="A1937" s="80"/>
      <c r="B1937" s="142"/>
      <c r="C1937" s="78"/>
      <c r="D1937" s="78"/>
      <c r="E1937" s="78"/>
      <c r="F1937" s="78"/>
    </row>
    <row r="1938" ht="14.25" customHeight="1">
      <c r="A1938" s="80"/>
      <c r="B1938" s="142"/>
      <c r="C1938" s="78"/>
      <c r="D1938" s="78"/>
      <c r="E1938" s="78"/>
      <c r="F1938" s="78"/>
    </row>
    <row r="1939" ht="14.25" customHeight="1">
      <c r="A1939" s="80"/>
      <c r="B1939" s="142"/>
      <c r="C1939" s="78"/>
      <c r="D1939" s="78"/>
      <c r="E1939" s="78"/>
      <c r="F1939" s="78"/>
    </row>
    <row r="1940" ht="14.25" customHeight="1">
      <c r="A1940" s="80"/>
      <c r="B1940" s="142"/>
      <c r="C1940" s="78"/>
      <c r="D1940" s="78"/>
      <c r="E1940" s="78"/>
      <c r="F1940" s="78"/>
    </row>
    <row r="1941" ht="14.25" customHeight="1">
      <c r="A1941" s="80"/>
      <c r="B1941" s="142"/>
      <c r="C1941" s="78"/>
      <c r="D1941" s="78"/>
      <c r="E1941" s="78"/>
      <c r="F1941" s="78"/>
    </row>
    <row r="1942" ht="14.25" customHeight="1">
      <c r="A1942" s="80"/>
      <c r="B1942" s="142"/>
      <c r="C1942" s="78"/>
      <c r="D1942" s="78"/>
      <c r="E1942" s="78"/>
      <c r="F1942" s="78"/>
    </row>
    <row r="1943" ht="14.25" customHeight="1">
      <c r="A1943" s="80"/>
      <c r="B1943" s="142"/>
      <c r="C1943" s="78"/>
      <c r="D1943" s="78"/>
      <c r="E1943" s="78"/>
      <c r="F1943" s="78"/>
    </row>
    <row r="1944" ht="14.25" customHeight="1">
      <c r="A1944" s="80"/>
      <c r="B1944" s="142"/>
      <c r="C1944" s="78"/>
      <c r="D1944" s="78"/>
      <c r="E1944" s="78"/>
      <c r="F1944" s="78"/>
    </row>
    <row r="1945" ht="14.25" customHeight="1">
      <c r="A1945" s="80"/>
      <c r="B1945" s="142"/>
      <c r="C1945" s="78"/>
      <c r="D1945" s="78"/>
      <c r="E1945" s="78"/>
      <c r="F1945" s="78"/>
    </row>
    <row r="1946" ht="14.25" customHeight="1">
      <c r="A1946" s="80"/>
      <c r="B1946" s="142"/>
      <c r="C1946" s="78"/>
      <c r="D1946" s="78"/>
      <c r="E1946" s="78"/>
      <c r="F1946" s="78"/>
    </row>
    <row r="1947" ht="14.25" customHeight="1">
      <c r="A1947" s="80"/>
      <c r="B1947" s="142"/>
      <c r="C1947" s="78"/>
      <c r="D1947" s="78"/>
      <c r="E1947" s="78"/>
      <c r="F1947" s="78"/>
    </row>
    <row r="1948" ht="14.25" customHeight="1">
      <c r="A1948" s="80"/>
      <c r="B1948" s="142"/>
      <c r="C1948" s="78"/>
      <c r="D1948" s="78"/>
      <c r="E1948" s="78"/>
      <c r="F1948" s="78"/>
    </row>
    <row r="1949" ht="14.25" customHeight="1">
      <c r="A1949" s="80"/>
      <c r="B1949" s="142"/>
      <c r="C1949" s="78"/>
      <c r="D1949" s="78"/>
      <c r="E1949" s="78"/>
      <c r="F1949" s="78"/>
    </row>
    <row r="1950" ht="14.25" customHeight="1">
      <c r="A1950" s="80"/>
      <c r="B1950" s="142"/>
      <c r="C1950" s="78"/>
      <c r="D1950" s="78"/>
      <c r="E1950" s="78"/>
      <c r="F1950" s="78"/>
    </row>
    <row r="1951" ht="14.25" customHeight="1">
      <c r="A1951" s="80"/>
      <c r="B1951" s="142"/>
      <c r="C1951" s="78"/>
      <c r="D1951" s="78"/>
      <c r="E1951" s="78"/>
      <c r="F1951" s="78"/>
    </row>
    <row r="1952" ht="14.25" customHeight="1">
      <c r="A1952" s="80"/>
      <c r="B1952" s="142"/>
      <c r="C1952" s="78"/>
      <c r="D1952" s="78"/>
      <c r="E1952" s="78"/>
      <c r="F1952" s="78"/>
    </row>
    <row r="1953" ht="14.25" customHeight="1">
      <c r="A1953" s="80"/>
      <c r="B1953" s="142"/>
      <c r="C1953" s="78"/>
      <c r="D1953" s="78"/>
      <c r="E1953" s="78"/>
      <c r="F1953" s="78"/>
    </row>
    <row r="1954" ht="14.25" customHeight="1">
      <c r="A1954" s="80"/>
      <c r="B1954" s="142"/>
      <c r="C1954" s="78"/>
      <c r="D1954" s="78"/>
      <c r="E1954" s="78"/>
      <c r="F1954" s="78"/>
    </row>
    <row r="1955" ht="14.25" customHeight="1">
      <c r="A1955" s="80"/>
      <c r="B1955" s="142"/>
      <c r="C1955" s="78"/>
      <c r="D1955" s="78"/>
      <c r="E1955" s="78"/>
      <c r="F1955" s="78"/>
    </row>
    <row r="1956" ht="14.25" customHeight="1">
      <c r="A1956" s="80"/>
      <c r="B1956" s="142"/>
      <c r="C1956" s="78"/>
      <c r="D1956" s="78"/>
      <c r="E1956" s="78"/>
      <c r="F1956" s="78"/>
    </row>
    <row r="1957" ht="14.25" customHeight="1">
      <c r="A1957" s="80"/>
      <c r="B1957" s="142"/>
      <c r="C1957" s="78"/>
      <c r="D1957" s="78"/>
      <c r="E1957" s="78"/>
      <c r="F1957" s="78"/>
    </row>
    <row r="1958" ht="14.25" customHeight="1">
      <c r="A1958" s="80"/>
      <c r="B1958" s="142"/>
      <c r="C1958" s="78"/>
      <c r="D1958" s="78"/>
      <c r="E1958" s="78"/>
      <c r="F1958" s="78"/>
    </row>
    <row r="1959" ht="14.25" customHeight="1">
      <c r="A1959" s="80"/>
      <c r="B1959" s="142"/>
      <c r="C1959" s="78"/>
      <c r="D1959" s="78"/>
      <c r="E1959" s="78"/>
      <c r="F1959" s="78"/>
    </row>
    <row r="1960" ht="14.25" customHeight="1">
      <c r="A1960" s="80"/>
      <c r="B1960" s="142"/>
      <c r="C1960" s="78"/>
      <c r="D1960" s="78"/>
      <c r="E1960" s="78"/>
      <c r="F1960" s="78"/>
    </row>
    <row r="1961" ht="14.25" customHeight="1">
      <c r="A1961" s="80"/>
      <c r="B1961" s="142"/>
      <c r="C1961" s="78"/>
      <c r="D1961" s="78"/>
      <c r="E1961" s="78"/>
      <c r="F1961" s="78"/>
    </row>
    <row r="1962" ht="14.25" customHeight="1">
      <c r="A1962" s="80"/>
      <c r="B1962" s="142"/>
      <c r="C1962" s="78"/>
      <c r="D1962" s="78"/>
      <c r="E1962" s="78"/>
      <c r="F1962" s="78"/>
    </row>
    <row r="1963" ht="14.25" customHeight="1">
      <c r="A1963" s="80"/>
      <c r="B1963" s="142"/>
      <c r="C1963" s="78"/>
      <c r="D1963" s="78"/>
      <c r="E1963" s="78"/>
      <c r="F1963" s="78"/>
    </row>
    <row r="1964" ht="14.25" customHeight="1">
      <c r="A1964" s="80"/>
      <c r="B1964" s="142"/>
      <c r="C1964" s="78"/>
      <c r="D1964" s="78"/>
      <c r="E1964" s="78"/>
      <c r="F1964" s="78"/>
    </row>
    <row r="1965" ht="14.25" customHeight="1">
      <c r="A1965" s="80"/>
      <c r="B1965" s="142"/>
      <c r="C1965" s="78"/>
      <c r="D1965" s="78"/>
      <c r="E1965" s="78"/>
      <c r="F1965" s="78"/>
    </row>
    <row r="1966" ht="14.25" customHeight="1">
      <c r="A1966" s="80"/>
      <c r="B1966" s="142"/>
      <c r="C1966" s="78"/>
      <c r="D1966" s="78"/>
      <c r="E1966" s="78"/>
      <c r="F1966" s="78"/>
    </row>
    <row r="1967" ht="14.25" customHeight="1">
      <c r="A1967" s="80"/>
      <c r="B1967" s="142"/>
      <c r="C1967" s="78"/>
      <c r="D1967" s="78"/>
      <c r="E1967" s="78"/>
      <c r="F1967" s="78"/>
    </row>
    <row r="1968" ht="14.25" customHeight="1">
      <c r="A1968" s="80"/>
      <c r="B1968" s="142"/>
      <c r="C1968" s="78"/>
      <c r="D1968" s="78"/>
      <c r="E1968" s="78"/>
      <c r="F1968" s="78"/>
    </row>
    <row r="1969" ht="14.25" customHeight="1">
      <c r="A1969" s="80"/>
      <c r="B1969" s="142"/>
      <c r="C1969" s="78"/>
      <c r="D1969" s="78"/>
      <c r="E1969" s="78"/>
      <c r="F1969" s="78"/>
    </row>
    <row r="1970" ht="14.25" customHeight="1">
      <c r="A1970" s="80"/>
      <c r="B1970" s="142"/>
      <c r="C1970" s="78"/>
      <c r="D1970" s="78"/>
      <c r="E1970" s="78"/>
      <c r="F1970" s="78"/>
    </row>
    <row r="1971" ht="14.25" customHeight="1">
      <c r="A1971" s="80"/>
      <c r="B1971" s="142"/>
      <c r="C1971" s="78"/>
      <c r="D1971" s="78"/>
      <c r="E1971" s="78"/>
      <c r="F1971" s="78"/>
    </row>
    <row r="1972" ht="14.25" customHeight="1">
      <c r="A1972" s="80"/>
      <c r="B1972" s="142"/>
      <c r="C1972" s="78"/>
      <c r="D1972" s="78"/>
      <c r="E1972" s="78"/>
      <c r="F1972" s="78"/>
    </row>
    <row r="1973" ht="14.25" customHeight="1">
      <c r="A1973" s="80"/>
      <c r="B1973" s="142"/>
      <c r="C1973" s="78"/>
      <c r="D1973" s="78"/>
      <c r="E1973" s="78"/>
      <c r="F1973" s="78"/>
    </row>
    <row r="1974" ht="14.25" customHeight="1">
      <c r="A1974" s="80"/>
      <c r="B1974" s="142"/>
      <c r="C1974" s="78"/>
      <c r="D1974" s="78"/>
      <c r="E1974" s="78"/>
      <c r="F1974" s="78"/>
    </row>
    <row r="1975" ht="14.25" customHeight="1">
      <c r="A1975" s="80"/>
      <c r="B1975" s="142"/>
      <c r="C1975" s="78"/>
      <c r="D1975" s="78"/>
      <c r="E1975" s="78"/>
      <c r="F1975" s="78"/>
    </row>
    <row r="1976" ht="14.25" customHeight="1">
      <c r="A1976" s="80"/>
      <c r="B1976" s="142"/>
      <c r="C1976" s="78"/>
      <c r="D1976" s="78"/>
      <c r="E1976" s="78"/>
      <c r="F1976" s="78"/>
    </row>
    <row r="1977" ht="14.25" customHeight="1">
      <c r="A1977" s="80"/>
      <c r="B1977" s="142"/>
      <c r="C1977" s="78"/>
      <c r="D1977" s="78"/>
      <c r="E1977" s="78"/>
      <c r="F1977" s="78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40.0"/>
    <col customWidth="1" min="2" max="2" width="19.0"/>
    <col customWidth="1" min="3" max="3" width="20.86"/>
    <col customWidth="1" min="4" max="4" width="11.86"/>
    <col customWidth="1" min="5" max="7" width="11.43"/>
    <col customWidth="1" min="8" max="8" width="23.86"/>
    <col customWidth="1" min="12" max="12" width="16.29"/>
  </cols>
  <sheetData>
    <row r="1">
      <c r="A1" s="27" t="s">
        <v>62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</row>
    <row r="2">
      <c r="A2" s="32" t="s">
        <v>1</v>
      </c>
      <c r="B2" s="33">
        <v>46235.0</v>
      </c>
      <c r="C2" s="33">
        <v>46236.0</v>
      </c>
      <c r="D2" s="33">
        <v>46237.0</v>
      </c>
      <c r="E2" s="33">
        <v>46238.0</v>
      </c>
      <c r="F2" s="33">
        <v>46239.0</v>
      </c>
      <c r="G2" s="33">
        <v>46240.0</v>
      </c>
      <c r="H2" s="33">
        <v>46241.0</v>
      </c>
      <c r="I2" s="33">
        <v>46242.0</v>
      </c>
      <c r="J2" s="33">
        <v>46243.0</v>
      </c>
      <c r="K2" s="33">
        <v>46244.0</v>
      </c>
      <c r="L2" s="33">
        <v>46245.0</v>
      </c>
      <c r="M2" s="33">
        <v>46246.0</v>
      </c>
      <c r="N2" s="33">
        <v>46247.0</v>
      </c>
      <c r="O2" s="33">
        <v>46248.0</v>
      </c>
      <c r="P2" s="33">
        <v>46249.0</v>
      </c>
      <c r="Q2" s="33">
        <v>46250.0</v>
      </c>
      <c r="R2" s="33">
        <v>46251.0</v>
      </c>
      <c r="S2" s="33">
        <v>46252.0</v>
      </c>
      <c r="T2" s="33">
        <v>46253.0</v>
      </c>
      <c r="U2" s="33">
        <v>46254.0</v>
      </c>
      <c r="V2" s="33">
        <v>46255.0</v>
      </c>
      <c r="W2" s="33">
        <v>46256.0</v>
      </c>
      <c r="X2" s="33">
        <v>46257.0</v>
      </c>
      <c r="Y2" s="33">
        <v>46258.0</v>
      </c>
      <c r="Z2" s="33">
        <v>46259.0</v>
      </c>
      <c r="AA2" s="33">
        <v>46260.0</v>
      </c>
      <c r="AB2" s="33">
        <v>46261.0</v>
      </c>
      <c r="AC2" s="33">
        <v>46262.0</v>
      </c>
      <c r="AD2" s="33">
        <v>46263.0</v>
      </c>
      <c r="AE2" s="33">
        <v>46264.0</v>
      </c>
      <c r="AF2" s="33">
        <v>46265.0</v>
      </c>
      <c r="AG2" s="35" t="s">
        <v>2</v>
      </c>
      <c r="AH2" s="28"/>
    </row>
    <row r="3">
      <c r="A3" s="36" t="s">
        <v>4</v>
      </c>
      <c r="B3" s="37">
        <v>85359.0</v>
      </c>
      <c r="C3" s="13" t="s">
        <v>71</v>
      </c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40"/>
      <c r="Z3" s="38"/>
      <c r="AA3" s="38"/>
      <c r="AB3" s="38"/>
      <c r="AC3" s="38"/>
      <c r="AD3" s="38"/>
      <c r="AE3" s="38"/>
      <c r="AF3" s="38"/>
      <c r="AG3" s="42">
        <f t="shared" ref="AG3:AG4" si="1">SUM(B3:AF3)</f>
        <v>85359</v>
      </c>
      <c r="AH3" s="28"/>
    </row>
    <row r="4">
      <c r="A4" s="36" t="s">
        <v>5</v>
      </c>
      <c r="B4" s="13">
        <v>51.0</v>
      </c>
      <c r="C4" s="13">
        <v>54.0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47">
        <f t="shared" si="1"/>
        <v>105</v>
      </c>
      <c r="AH4" s="28"/>
    </row>
    <row r="5">
      <c r="A5" s="36" t="s">
        <v>6</v>
      </c>
      <c r="B5" s="37">
        <v>1674.0</v>
      </c>
      <c r="C5" s="13" t="s">
        <v>80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42">
        <f>AVERAGE(B5:AF5)</f>
        <v>1674</v>
      </c>
      <c r="AH5" s="28"/>
    </row>
    <row r="6">
      <c r="A6" s="36" t="s">
        <v>7</v>
      </c>
      <c r="B6" s="37">
        <v>199800.0</v>
      </c>
      <c r="C6" s="13" t="s">
        <v>85</v>
      </c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42">
        <f>SUM(B6:AF6)</f>
        <v>199800</v>
      </c>
      <c r="AH6" s="28"/>
    </row>
    <row r="7">
      <c r="A7" s="36" t="s">
        <v>9</v>
      </c>
      <c r="B7" s="26">
        <v>0.43</v>
      </c>
      <c r="C7" s="26">
        <v>0.45</v>
      </c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57"/>
      <c r="AH7" s="28"/>
    </row>
    <row r="8">
      <c r="A8" s="36" t="s">
        <v>18</v>
      </c>
      <c r="B8" s="13">
        <v>2.34</v>
      </c>
      <c r="C8" s="13">
        <v>2.2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47">
        <f t="shared" ref="AG8:AG10" si="2">AVERAGE(B8:AF8)</f>
        <v>2.27</v>
      </c>
      <c r="AH8" s="28"/>
    </row>
    <row r="9">
      <c r="A9" s="36" t="s">
        <v>22</v>
      </c>
      <c r="B9" s="37">
        <v>199800.0</v>
      </c>
      <c r="C9" s="13" t="s">
        <v>85</v>
      </c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42">
        <f t="shared" si="2"/>
        <v>199800</v>
      </c>
      <c r="AH9" s="28"/>
    </row>
    <row r="10">
      <c r="A10" s="36" t="s">
        <v>29</v>
      </c>
      <c r="B10" s="39">
        <v>0.0196</v>
      </c>
      <c r="C10" s="39">
        <v>0.0185</v>
      </c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64">
        <f t="shared" si="2"/>
        <v>0.01905</v>
      </c>
      <c r="AH10" s="28"/>
    </row>
    <row r="11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66" t="s">
        <v>89</v>
      </c>
      <c r="B12" s="67"/>
    </row>
    <row r="13">
      <c r="A13" s="66" t="s">
        <v>94</v>
      </c>
      <c r="B13" s="66" t="s">
        <v>92</v>
      </c>
    </row>
    <row r="14">
      <c r="A14" s="71" t="s">
        <v>95</v>
      </c>
      <c r="B14" s="72">
        <v>358309.0</v>
      </c>
    </row>
    <row r="15">
      <c r="A15" s="68"/>
      <c r="B15" s="70"/>
    </row>
    <row r="16">
      <c r="A16" s="67"/>
      <c r="B16" s="73"/>
    </row>
    <row r="17">
      <c r="A17" s="67"/>
      <c r="B17" s="73"/>
    </row>
    <row r="18">
      <c r="A18" s="67"/>
      <c r="B18" s="73"/>
    </row>
    <row r="19">
      <c r="A19" s="67"/>
      <c r="B19" s="73"/>
    </row>
    <row r="20">
      <c r="A20" s="67"/>
      <c r="B20" s="73"/>
    </row>
    <row r="21">
      <c r="A21" s="67"/>
      <c r="B21" s="73"/>
    </row>
    <row r="22">
      <c r="A22" s="67"/>
      <c r="B22" s="73"/>
    </row>
    <row r="23">
      <c r="A23" s="74" t="s">
        <v>100</v>
      </c>
      <c r="B23" s="75">
        <f>SUM(B14:B22)</f>
        <v>358309</v>
      </c>
    </row>
    <row r="26">
      <c r="A26" s="77" t="s">
        <v>101</v>
      </c>
      <c r="B26" s="78"/>
      <c r="C26" s="78"/>
      <c r="D26" s="78"/>
      <c r="E26" s="78"/>
      <c r="F26" s="78"/>
    </row>
    <row r="27">
      <c r="A27" s="79" t="s">
        <v>103</v>
      </c>
      <c r="B27" s="79" t="s">
        <v>44</v>
      </c>
      <c r="C27" s="79" t="s">
        <v>104</v>
      </c>
      <c r="D27" s="79" t="s">
        <v>46</v>
      </c>
      <c r="E27" s="79" t="s">
        <v>47</v>
      </c>
      <c r="F27" s="79" t="s">
        <v>43</v>
      </c>
    </row>
    <row r="28">
      <c r="A28" s="80" t="s">
        <v>105</v>
      </c>
      <c r="B28" s="80" t="s">
        <v>106</v>
      </c>
      <c r="C28" s="80" t="s">
        <v>107</v>
      </c>
      <c r="D28" s="81">
        <v>6695.0</v>
      </c>
      <c r="E28" s="81">
        <v>6211.0</v>
      </c>
      <c r="F28" s="81">
        <v>29.0</v>
      </c>
    </row>
    <row r="29">
      <c r="A29" s="80" t="s">
        <v>108</v>
      </c>
      <c r="B29" s="80" t="s">
        <v>109</v>
      </c>
      <c r="C29" s="80" t="s">
        <v>110</v>
      </c>
      <c r="D29" s="81">
        <v>1355.0</v>
      </c>
      <c r="E29" s="81">
        <v>1247.0</v>
      </c>
      <c r="F29" s="81">
        <v>6.0</v>
      </c>
    </row>
    <row r="30">
      <c r="A30" s="80" t="s">
        <v>108</v>
      </c>
      <c r="B30" s="80" t="s">
        <v>113</v>
      </c>
      <c r="C30" s="80" t="s">
        <v>114</v>
      </c>
      <c r="D30" s="81">
        <v>2632.0</v>
      </c>
      <c r="E30" s="81">
        <v>2348.0</v>
      </c>
      <c r="F30" s="81">
        <v>8.0</v>
      </c>
    </row>
    <row r="31">
      <c r="A31" s="80" t="s">
        <v>115</v>
      </c>
      <c r="B31" s="80" t="s">
        <v>116</v>
      </c>
      <c r="C31" s="80" t="s">
        <v>117</v>
      </c>
      <c r="D31" s="81">
        <v>7125.0</v>
      </c>
      <c r="E31" s="81">
        <v>6750.0</v>
      </c>
      <c r="F31" s="81">
        <v>8.0</v>
      </c>
    </row>
    <row r="32">
      <c r="A32" s="78"/>
      <c r="B32" s="82" t="s">
        <v>65</v>
      </c>
      <c r="C32" s="82" t="s">
        <v>118</v>
      </c>
      <c r="D32" s="78"/>
      <c r="E32" s="78"/>
      <c r="F32" s="83">
        <v>51.0</v>
      </c>
    </row>
    <row r="33">
      <c r="A33" s="78"/>
      <c r="B33" s="78"/>
      <c r="C33" s="78"/>
      <c r="D33" s="78"/>
      <c r="E33" s="78"/>
      <c r="F33" s="78"/>
    </row>
    <row r="34">
      <c r="A34" s="84" t="s">
        <v>119</v>
      </c>
      <c r="B34" s="78"/>
      <c r="C34" s="78"/>
      <c r="D34" s="78"/>
      <c r="E34" s="78"/>
      <c r="F34" s="78"/>
    </row>
    <row r="35">
      <c r="A35" s="79" t="s">
        <v>67</v>
      </c>
      <c r="B35" s="79" t="s">
        <v>68</v>
      </c>
      <c r="C35" s="78"/>
      <c r="D35" s="78"/>
      <c r="E35" s="78"/>
      <c r="F35" s="78"/>
    </row>
    <row r="36">
      <c r="A36" s="80" t="s">
        <v>120</v>
      </c>
      <c r="B36" s="81">
        <v>11.0</v>
      </c>
      <c r="C36" s="78"/>
      <c r="D36" s="78"/>
      <c r="E36" s="78"/>
      <c r="F36" s="78"/>
    </row>
    <row r="37">
      <c r="A37" s="80" t="s">
        <v>70</v>
      </c>
      <c r="B37" s="81">
        <v>10.0</v>
      </c>
      <c r="C37" s="78"/>
      <c r="D37" s="78"/>
      <c r="E37" s="78"/>
      <c r="F37" s="78"/>
    </row>
    <row r="38">
      <c r="A38" s="80" t="s">
        <v>121</v>
      </c>
      <c r="B38" s="81">
        <v>10.0</v>
      </c>
      <c r="C38" s="78"/>
      <c r="D38" s="78"/>
      <c r="E38" s="78"/>
      <c r="F38" s="78"/>
    </row>
    <row r="39">
      <c r="A39" s="80" t="s">
        <v>122</v>
      </c>
      <c r="B39" s="81">
        <v>10.0</v>
      </c>
      <c r="C39" s="78"/>
      <c r="D39" s="78"/>
      <c r="E39" s="78"/>
      <c r="F39" s="78"/>
    </row>
    <row r="40">
      <c r="A40" s="80" t="s">
        <v>123</v>
      </c>
      <c r="B40" s="81">
        <v>8.0</v>
      </c>
      <c r="C40" s="78"/>
      <c r="D40" s="78"/>
      <c r="E40" s="78"/>
      <c r="F40" s="78"/>
    </row>
    <row r="41">
      <c r="A41" s="78"/>
      <c r="B41" s="83">
        <v>49.0</v>
      </c>
      <c r="C41" s="78"/>
      <c r="D41" s="78"/>
      <c r="E41" s="78"/>
      <c r="F41" s="78"/>
    </row>
    <row r="42">
      <c r="A42" s="78"/>
      <c r="B42" s="78"/>
      <c r="C42" s="78"/>
      <c r="D42" s="78"/>
      <c r="E42" s="78"/>
      <c r="F42" s="78"/>
    </row>
    <row r="43">
      <c r="A43" s="84" t="s">
        <v>124</v>
      </c>
      <c r="B43" s="78"/>
      <c r="C43" s="78"/>
      <c r="D43" s="78"/>
      <c r="E43" s="78"/>
      <c r="F43" s="78"/>
    </row>
    <row r="44">
      <c r="A44" s="79" t="s">
        <v>67</v>
      </c>
      <c r="B44" s="79" t="s">
        <v>73</v>
      </c>
      <c r="C44" s="79" t="s">
        <v>74</v>
      </c>
      <c r="D44" s="79" t="s">
        <v>75</v>
      </c>
      <c r="E44" s="79" t="s">
        <v>68</v>
      </c>
      <c r="F44" s="78"/>
    </row>
    <row r="45">
      <c r="A45" s="80" t="s">
        <v>123</v>
      </c>
      <c r="B45" s="81">
        <v>12.0</v>
      </c>
      <c r="C45" s="81">
        <v>0.0</v>
      </c>
      <c r="D45" s="81">
        <v>3.0</v>
      </c>
      <c r="E45" s="81">
        <v>15.0</v>
      </c>
      <c r="F45" s="78"/>
    </row>
    <row r="46">
      <c r="A46" s="80" t="s">
        <v>122</v>
      </c>
      <c r="B46" s="81">
        <v>5.0</v>
      </c>
      <c r="C46" s="81">
        <v>0.0</v>
      </c>
      <c r="D46" s="81">
        <v>0.0</v>
      </c>
      <c r="E46" s="81">
        <v>5.0</v>
      </c>
      <c r="F46" s="78"/>
    </row>
    <row r="47">
      <c r="A47" s="80" t="s">
        <v>121</v>
      </c>
      <c r="B47" s="81">
        <v>4.0</v>
      </c>
      <c r="C47" s="81">
        <v>0.0</v>
      </c>
      <c r="D47" s="81">
        <v>0.0</v>
      </c>
      <c r="E47" s="81">
        <v>4.0</v>
      </c>
      <c r="F47" s="78"/>
    </row>
    <row r="48">
      <c r="A48" s="80" t="s">
        <v>125</v>
      </c>
      <c r="B48" s="81">
        <v>2.0</v>
      </c>
      <c r="C48" s="81">
        <v>0.0</v>
      </c>
      <c r="D48" s="81">
        <v>0.0</v>
      </c>
      <c r="E48" s="81">
        <v>2.0</v>
      </c>
      <c r="F48" s="78"/>
    </row>
    <row r="49">
      <c r="A49" s="80" t="s">
        <v>120</v>
      </c>
      <c r="B49" s="81">
        <v>2.0</v>
      </c>
      <c r="C49" s="81">
        <v>0.0</v>
      </c>
      <c r="D49" s="81">
        <v>0.0</v>
      </c>
      <c r="E49" s="81">
        <v>2.0</v>
      </c>
      <c r="F49" s="78"/>
    </row>
    <row r="50">
      <c r="A50" s="78"/>
      <c r="B50" s="78"/>
      <c r="C50" s="78"/>
      <c r="D50" s="78"/>
      <c r="E50" s="78"/>
      <c r="F50" s="78"/>
    </row>
    <row r="51">
      <c r="A51" s="84" t="s">
        <v>77</v>
      </c>
      <c r="B51" s="78"/>
      <c r="C51" s="78"/>
      <c r="D51" s="78"/>
      <c r="E51" s="78"/>
      <c r="F51" s="78"/>
    </row>
    <row r="52">
      <c r="A52" s="86" t="s">
        <v>79</v>
      </c>
      <c r="B52" s="86" t="s">
        <v>5</v>
      </c>
      <c r="C52" s="78"/>
      <c r="D52" s="78"/>
      <c r="E52" s="78"/>
      <c r="F52" s="78"/>
    </row>
    <row r="53">
      <c r="A53" s="87" t="s">
        <v>83</v>
      </c>
      <c r="B53" s="88">
        <v>25.0</v>
      </c>
      <c r="C53" s="78"/>
      <c r="D53" s="78"/>
      <c r="E53" s="78"/>
      <c r="F53" s="78"/>
    </row>
    <row r="54">
      <c r="A54" s="87" t="s">
        <v>88</v>
      </c>
      <c r="B54" s="88">
        <v>13.0</v>
      </c>
      <c r="C54" s="78"/>
      <c r="D54" s="78"/>
      <c r="E54" s="78"/>
      <c r="F54" s="78"/>
    </row>
    <row r="55">
      <c r="A55" s="87" t="s">
        <v>126</v>
      </c>
      <c r="B55" s="88">
        <v>7.0</v>
      </c>
      <c r="C55" s="78"/>
      <c r="D55" s="78"/>
      <c r="E55" s="78"/>
      <c r="F55" s="78"/>
    </row>
    <row r="56">
      <c r="A56" s="78"/>
      <c r="B56" s="78"/>
      <c r="C56" s="78"/>
      <c r="D56" s="78"/>
      <c r="E56" s="78"/>
      <c r="F56" s="78"/>
    </row>
    <row r="57">
      <c r="A57" s="89" t="s">
        <v>127</v>
      </c>
      <c r="B57" s="90" t="s">
        <v>128</v>
      </c>
      <c r="C57" s="78"/>
      <c r="D57" s="78"/>
      <c r="E57" s="78"/>
      <c r="F57" s="78"/>
    </row>
    <row r="58">
      <c r="A58" s="89" t="s">
        <v>129</v>
      </c>
      <c r="B58" s="90" t="s">
        <v>54</v>
      </c>
      <c r="C58" s="78"/>
      <c r="D58" s="78"/>
      <c r="E58" s="78"/>
      <c r="F58" s="78"/>
    </row>
    <row r="59">
      <c r="A59" s="89" t="s">
        <v>131</v>
      </c>
      <c r="B59" s="90" t="s">
        <v>54</v>
      </c>
      <c r="C59" s="78"/>
      <c r="D59" s="78"/>
      <c r="E59" s="78"/>
      <c r="F59" s="78"/>
    </row>
    <row r="60">
      <c r="A60" s="89" t="s">
        <v>132</v>
      </c>
      <c r="B60" s="90" t="s">
        <v>54</v>
      </c>
      <c r="C60" s="78"/>
      <c r="D60" s="78"/>
      <c r="E60" s="78"/>
      <c r="F60" s="78"/>
    </row>
    <row r="61">
      <c r="A61" s="78"/>
      <c r="B61" s="92"/>
      <c r="C61" s="78"/>
      <c r="D61" s="78"/>
      <c r="E61" s="78"/>
      <c r="F61" s="78"/>
    </row>
    <row r="62">
      <c r="A62" s="93" t="s">
        <v>7</v>
      </c>
      <c r="B62" s="94" t="s">
        <v>128</v>
      </c>
      <c r="C62" s="95">
        <v>1.0</v>
      </c>
      <c r="D62" s="78"/>
      <c r="E62" s="78"/>
      <c r="F62" s="78"/>
    </row>
    <row r="63">
      <c r="A63" s="78"/>
      <c r="B63" s="78"/>
      <c r="C63" s="78"/>
      <c r="D63" s="78"/>
      <c r="E63" s="78"/>
      <c r="F63" s="78"/>
    </row>
    <row r="64">
      <c r="A64" s="66" t="s">
        <v>1</v>
      </c>
      <c r="B64" s="44">
        <v>46235.0</v>
      </c>
      <c r="C64" s="78"/>
      <c r="D64" s="78"/>
      <c r="E64" s="78"/>
      <c r="F64" s="78"/>
    </row>
    <row r="65">
      <c r="A65" s="96" t="s">
        <v>4</v>
      </c>
      <c r="B65" s="13" t="s">
        <v>118</v>
      </c>
      <c r="C65" s="78"/>
      <c r="D65" s="78"/>
      <c r="E65" s="78"/>
      <c r="F65" s="78"/>
    </row>
    <row r="66">
      <c r="A66" s="96" t="s">
        <v>5</v>
      </c>
      <c r="B66" s="13">
        <v>51.0</v>
      </c>
      <c r="C66" s="78"/>
      <c r="D66" s="78"/>
      <c r="E66" s="78"/>
      <c r="F66" s="78"/>
    </row>
    <row r="67">
      <c r="A67" s="96" t="s">
        <v>6</v>
      </c>
      <c r="B67" s="13" t="s">
        <v>135</v>
      </c>
      <c r="C67" s="78"/>
      <c r="D67" s="78"/>
      <c r="E67" s="78"/>
      <c r="F67" s="78"/>
    </row>
    <row r="68">
      <c r="A68" s="96" t="s">
        <v>7</v>
      </c>
      <c r="B68" s="13" t="s">
        <v>128</v>
      </c>
      <c r="C68" s="78"/>
      <c r="D68" s="78"/>
      <c r="E68" s="78"/>
      <c r="F68" s="78"/>
    </row>
    <row r="69">
      <c r="A69" s="96" t="s">
        <v>9</v>
      </c>
      <c r="B69" s="26">
        <v>0.43</v>
      </c>
      <c r="C69" s="78"/>
      <c r="D69" s="78"/>
      <c r="E69" s="78"/>
      <c r="F69" s="78"/>
    </row>
    <row r="70">
      <c r="A70" s="96" t="s">
        <v>18</v>
      </c>
      <c r="B70" s="13">
        <v>2.34</v>
      </c>
      <c r="C70" s="78"/>
      <c r="D70" s="78"/>
      <c r="E70" s="78"/>
      <c r="F70" s="78"/>
    </row>
    <row r="71">
      <c r="A71" s="96" t="s">
        <v>22</v>
      </c>
      <c r="B71" s="13" t="s">
        <v>128</v>
      </c>
      <c r="C71" s="78"/>
      <c r="D71" s="78"/>
      <c r="E71" s="78"/>
      <c r="F71" s="78"/>
    </row>
    <row r="72">
      <c r="A72" s="96" t="s">
        <v>29</v>
      </c>
      <c r="B72" s="39">
        <v>0.0196</v>
      </c>
      <c r="C72" s="78"/>
      <c r="D72" s="78"/>
      <c r="E72" s="78"/>
      <c r="F72" s="78"/>
    </row>
    <row r="75">
      <c r="A75" s="77" t="s">
        <v>136</v>
      </c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</row>
    <row r="76">
      <c r="A76" s="79" t="s">
        <v>103</v>
      </c>
      <c r="B76" s="79" t="s">
        <v>44</v>
      </c>
      <c r="C76" s="79" t="s">
        <v>104</v>
      </c>
      <c r="D76" s="79" t="s">
        <v>46</v>
      </c>
      <c r="E76" s="79" t="s">
        <v>47</v>
      </c>
      <c r="F76" s="79" t="s">
        <v>43</v>
      </c>
      <c r="G76" s="78"/>
      <c r="H76" s="68" t="s">
        <v>137</v>
      </c>
      <c r="I76" s="13">
        <v>59.0</v>
      </c>
      <c r="J76" s="78"/>
      <c r="K76" s="13">
        <v>1.0</v>
      </c>
      <c r="L76" s="68" t="s">
        <v>83</v>
      </c>
    </row>
    <row r="77">
      <c r="A77" s="80" t="s">
        <v>138</v>
      </c>
      <c r="B77" s="80" t="s">
        <v>139</v>
      </c>
      <c r="C77" s="80" t="s">
        <v>139</v>
      </c>
      <c r="D77" s="81">
        <v>207.0</v>
      </c>
      <c r="E77" s="81">
        <v>197.0</v>
      </c>
      <c r="F77" s="81">
        <v>1.0</v>
      </c>
      <c r="G77" s="78"/>
      <c r="H77" s="68" t="s">
        <v>140</v>
      </c>
      <c r="I77" s="13">
        <v>8.0</v>
      </c>
      <c r="J77" s="78"/>
      <c r="K77" s="13">
        <v>1.0</v>
      </c>
      <c r="L77" s="68" t="s">
        <v>141</v>
      </c>
    </row>
    <row r="78">
      <c r="A78" s="80" t="s">
        <v>105</v>
      </c>
      <c r="B78" s="80" t="s">
        <v>142</v>
      </c>
      <c r="C78" s="80" t="s">
        <v>143</v>
      </c>
      <c r="D78" s="81">
        <v>8291.0</v>
      </c>
      <c r="E78" s="81">
        <v>7640.0</v>
      </c>
      <c r="F78" s="81">
        <v>24.0</v>
      </c>
      <c r="G78" s="78"/>
      <c r="H78" s="68" t="s">
        <v>144</v>
      </c>
      <c r="I78" s="13">
        <v>2.0</v>
      </c>
      <c r="J78" s="78"/>
      <c r="K78" s="78"/>
      <c r="L78" s="78"/>
    </row>
    <row r="79">
      <c r="A79" s="80" t="s">
        <v>108</v>
      </c>
      <c r="B79" s="80" t="s">
        <v>145</v>
      </c>
      <c r="C79" s="80" t="s">
        <v>146</v>
      </c>
      <c r="D79" s="81">
        <v>3545.0</v>
      </c>
      <c r="E79" s="81">
        <v>3305.0</v>
      </c>
      <c r="F79" s="81">
        <v>16.0</v>
      </c>
      <c r="G79" s="78"/>
      <c r="H79" s="78"/>
      <c r="I79" s="78"/>
      <c r="J79" s="78"/>
      <c r="K79" s="78"/>
      <c r="L79" s="78"/>
    </row>
    <row r="80">
      <c r="A80" s="80" t="s">
        <v>115</v>
      </c>
      <c r="B80" s="80" t="s">
        <v>147</v>
      </c>
      <c r="C80" s="80" t="s">
        <v>148</v>
      </c>
      <c r="D80" s="81">
        <v>4594.0</v>
      </c>
      <c r="E80" s="81">
        <v>3495.0</v>
      </c>
      <c r="F80" s="81">
        <v>13.0</v>
      </c>
      <c r="G80" s="78"/>
      <c r="H80" s="78"/>
    </row>
    <row r="81">
      <c r="A81" s="78"/>
      <c r="B81" s="79" t="s">
        <v>65</v>
      </c>
      <c r="C81" s="79" t="s">
        <v>71</v>
      </c>
      <c r="D81" s="78"/>
      <c r="E81" s="78"/>
      <c r="F81" s="83">
        <v>54.0</v>
      </c>
      <c r="G81" s="78"/>
    </row>
    <row r="82">
      <c r="A82" s="78"/>
      <c r="B82" s="78"/>
      <c r="C82" s="78"/>
      <c r="D82" s="78"/>
      <c r="E82" s="78"/>
      <c r="F82" s="78"/>
      <c r="G82" s="78"/>
    </row>
    <row r="83">
      <c r="A83" s="84" t="s">
        <v>119</v>
      </c>
      <c r="B83" s="78"/>
      <c r="C83" s="78"/>
      <c r="D83" s="78"/>
      <c r="E83" s="78"/>
      <c r="F83" s="78"/>
      <c r="G83" s="78"/>
    </row>
    <row r="84">
      <c r="A84" s="79" t="s">
        <v>67</v>
      </c>
      <c r="B84" s="79" t="s">
        <v>68</v>
      </c>
      <c r="C84" s="78"/>
      <c r="D84" s="78"/>
      <c r="E84" s="78"/>
      <c r="F84" s="78"/>
      <c r="G84" s="78"/>
    </row>
    <row r="85">
      <c r="A85" s="80" t="s">
        <v>123</v>
      </c>
      <c r="B85" s="81">
        <v>11.0</v>
      </c>
      <c r="C85" s="78"/>
      <c r="D85" s="78"/>
      <c r="E85" s="78"/>
      <c r="F85" s="78"/>
      <c r="G85" s="78"/>
    </row>
    <row r="86">
      <c r="A86" s="80" t="s">
        <v>70</v>
      </c>
      <c r="B86" s="81">
        <v>10.0</v>
      </c>
      <c r="C86" s="78"/>
      <c r="D86" s="78"/>
      <c r="E86" s="78"/>
      <c r="F86" s="78"/>
      <c r="G86" s="78"/>
    </row>
    <row r="87">
      <c r="A87" s="80" t="s">
        <v>121</v>
      </c>
      <c r="B87" s="81">
        <v>9.0</v>
      </c>
      <c r="C87" s="78"/>
      <c r="D87" s="78"/>
      <c r="E87" s="78"/>
      <c r="F87" s="78"/>
      <c r="G87" s="78"/>
    </row>
    <row r="88">
      <c r="A88" s="80" t="s">
        <v>122</v>
      </c>
      <c r="B88" s="81">
        <v>9.0</v>
      </c>
      <c r="C88" s="78"/>
      <c r="D88" s="78"/>
      <c r="E88" s="78"/>
      <c r="F88" s="78"/>
      <c r="G88" s="78"/>
    </row>
    <row r="89">
      <c r="A89" s="80" t="s">
        <v>120</v>
      </c>
      <c r="B89" s="81">
        <v>8.0</v>
      </c>
      <c r="C89" s="78"/>
      <c r="D89" s="78"/>
      <c r="E89" s="78"/>
      <c r="F89" s="78"/>
      <c r="G89" s="78"/>
    </row>
    <row r="90">
      <c r="A90" s="78"/>
      <c r="B90" s="83">
        <v>47.0</v>
      </c>
      <c r="C90" s="78"/>
      <c r="D90" s="78"/>
      <c r="E90" s="78"/>
      <c r="F90" s="78"/>
      <c r="G90" s="78"/>
    </row>
    <row r="91">
      <c r="A91" s="78"/>
      <c r="B91" s="78"/>
      <c r="C91" s="78"/>
      <c r="D91" s="78"/>
      <c r="E91" s="78"/>
      <c r="F91" s="78"/>
      <c r="G91" s="78"/>
    </row>
    <row r="92">
      <c r="A92" s="84" t="s">
        <v>124</v>
      </c>
      <c r="B92" s="78"/>
      <c r="C92" s="78"/>
      <c r="D92" s="78"/>
      <c r="E92" s="78"/>
      <c r="F92" s="78"/>
      <c r="G92" s="78"/>
    </row>
    <row r="93">
      <c r="A93" s="79" t="s">
        <v>67</v>
      </c>
      <c r="B93" s="79" t="s">
        <v>73</v>
      </c>
      <c r="C93" s="79" t="s">
        <v>74</v>
      </c>
      <c r="D93" s="79" t="s">
        <v>75</v>
      </c>
      <c r="E93" s="79" t="s">
        <v>68</v>
      </c>
      <c r="F93" s="78"/>
      <c r="G93" s="78"/>
    </row>
    <row r="94">
      <c r="A94" s="80" t="s">
        <v>123</v>
      </c>
      <c r="B94" s="81">
        <v>56.0</v>
      </c>
      <c r="C94" s="81">
        <v>0.0</v>
      </c>
      <c r="D94" s="81">
        <v>5.0</v>
      </c>
      <c r="E94" s="81">
        <v>61.0</v>
      </c>
      <c r="F94" s="78"/>
      <c r="G94" s="78"/>
    </row>
    <row r="95">
      <c r="A95" s="80" t="s">
        <v>121</v>
      </c>
      <c r="B95" s="81">
        <v>18.0</v>
      </c>
      <c r="C95" s="81">
        <v>0.0</v>
      </c>
      <c r="D95" s="81">
        <v>9.0</v>
      </c>
      <c r="E95" s="81">
        <v>27.0</v>
      </c>
      <c r="F95" s="78"/>
      <c r="G95" s="78"/>
    </row>
    <row r="96">
      <c r="A96" s="80" t="s">
        <v>70</v>
      </c>
      <c r="B96" s="81">
        <v>9.0</v>
      </c>
      <c r="C96" s="81">
        <v>0.0</v>
      </c>
      <c r="D96" s="81">
        <v>0.0</v>
      </c>
      <c r="E96" s="81">
        <v>9.0</v>
      </c>
      <c r="F96" s="78"/>
      <c r="G96" s="78"/>
    </row>
    <row r="97">
      <c r="A97" s="80" t="s">
        <v>122</v>
      </c>
      <c r="B97" s="81">
        <v>5.0</v>
      </c>
      <c r="C97" s="81">
        <v>0.0</v>
      </c>
      <c r="D97" s="81">
        <v>1.0</v>
      </c>
      <c r="E97" s="81">
        <v>6.0</v>
      </c>
      <c r="F97" s="78"/>
      <c r="G97" s="78"/>
    </row>
    <row r="98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</row>
    <row r="99">
      <c r="A99" s="84" t="s">
        <v>77</v>
      </c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</row>
    <row r="100">
      <c r="A100" s="86" t="s">
        <v>79</v>
      </c>
      <c r="B100" s="86" t="s">
        <v>5</v>
      </c>
      <c r="C100" s="78"/>
      <c r="D100" s="78"/>
      <c r="E100" s="78"/>
      <c r="F100" s="78"/>
      <c r="G100" s="78"/>
      <c r="H100" s="78"/>
      <c r="I100" s="78"/>
      <c r="J100" s="78"/>
      <c r="K100" s="78"/>
      <c r="L100" s="78"/>
    </row>
    <row r="101">
      <c r="A101" s="87" t="s">
        <v>126</v>
      </c>
      <c r="B101" s="88">
        <v>18.0</v>
      </c>
      <c r="C101" s="78"/>
      <c r="D101" s="78"/>
      <c r="E101" s="78"/>
      <c r="F101" s="78"/>
      <c r="G101" s="78"/>
      <c r="H101" s="78"/>
      <c r="I101" s="78"/>
      <c r="J101" s="78"/>
      <c r="K101" s="78"/>
      <c r="L101" s="78"/>
    </row>
    <row r="102">
      <c r="A102" s="87" t="s">
        <v>88</v>
      </c>
      <c r="B102" s="88">
        <v>15.0</v>
      </c>
      <c r="C102" s="78"/>
      <c r="D102" s="78"/>
      <c r="E102" s="78"/>
      <c r="F102" s="78"/>
      <c r="G102" s="78"/>
      <c r="H102" s="78"/>
      <c r="I102" s="78"/>
      <c r="J102" s="78"/>
      <c r="K102" s="78"/>
      <c r="L102" s="78"/>
    </row>
    <row r="103">
      <c r="A103" s="87" t="s">
        <v>83</v>
      </c>
      <c r="B103" s="88">
        <v>15.0</v>
      </c>
      <c r="C103" s="78"/>
      <c r="D103" s="78"/>
      <c r="E103" s="78"/>
      <c r="F103" s="78"/>
      <c r="G103" s="78"/>
      <c r="H103" s="78"/>
      <c r="I103" s="78"/>
      <c r="J103" s="78"/>
      <c r="K103" s="78"/>
      <c r="L103" s="78"/>
    </row>
    <row r="104">
      <c r="A104" s="78"/>
      <c r="B104" s="78"/>
      <c r="C104" s="78"/>
      <c r="D104" s="78"/>
      <c r="E104" s="78"/>
      <c r="F104" s="78"/>
      <c r="G104" s="78"/>
      <c r="H104" s="78"/>
      <c r="I104" s="78"/>
      <c r="J104" s="78"/>
      <c r="K104" s="78"/>
      <c r="L104" s="78"/>
    </row>
    <row r="105">
      <c r="A105" s="89" t="s">
        <v>127</v>
      </c>
      <c r="B105" s="90" t="s">
        <v>85</v>
      </c>
      <c r="C105" s="78"/>
      <c r="D105" s="78"/>
      <c r="E105" s="78"/>
      <c r="F105" s="78"/>
      <c r="G105" s="78"/>
      <c r="H105" s="78"/>
      <c r="I105" s="78"/>
      <c r="J105" s="78"/>
      <c r="K105" s="78"/>
      <c r="L105" s="78"/>
    </row>
    <row r="106">
      <c r="A106" s="89" t="s">
        <v>129</v>
      </c>
      <c r="B106" s="90" t="s">
        <v>54</v>
      </c>
      <c r="C106" s="78"/>
      <c r="D106" s="78"/>
      <c r="E106" s="78"/>
      <c r="F106" s="78"/>
      <c r="G106" s="78"/>
      <c r="H106" s="78"/>
      <c r="I106" s="78"/>
      <c r="J106" s="78"/>
      <c r="K106" s="78"/>
      <c r="L106" s="78"/>
    </row>
    <row r="107">
      <c r="A107" s="89" t="s">
        <v>131</v>
      </c>
      <c r="B107" s="90" t="s">
        <v>54</v>
      </c>
      <c r="C107" s="78"/>
      <c r="D107" s="78"/>
      <c r="E107" s="78"/>
      <c r="F107" s="78"/>
      <c r="G107" s="78"/>
      <c r="H107" s="78"/>
      <c r="I107" s="78"/>
      <c r="J107" s="78"/>
      <c r="K107" s="78"/>
      <c r="L107" s="78"/>
    </row>
    <row r="108">
      <c r="A108" s="89" t="s">
        <v>132</v>
      </c>
      <c r="B108" s="90" t="s">
        <v>54</v>
      </c>
      <c r="C108" s="78"/>
      <c r="D108" s="78"/>
      <c r="E108" s="78"/>
      <c r="F108" s="78"/>
      <c r="G108" s="78"/>
      <c r="H108" s="78"/>
      <c r="I108" s="78"/>
      <c r="J108" s="78"/>
      <c r="K108" s="78"/>
      <c r="L108" s="78"/>
    </row>
    <row r="109">
      <c r="A109" s="78"/>
      <c r="B109" s="92"/>
      <c r="C109" s="78"/>
      <c r="D109" s="78"/>
      <c r="E109" s="78"/>
      <c r="F109" s="78"/>
      <c r="G109" s="78"/>
      <c r="H109" s="78"/>
      <c r="I109" s="78"/>
      <c r="J109" s="78"/>
      <c r="K109" s="78"/>
      <c r="L109" s="78"/>
    </row>
    <row r="110">
      <c r="A110" s="93" t="s">
        <v>7</v>
      </c>
      <c r="B110" s="94" t="s">
        <v>85</v>
      </c>
      <c r="C110" s="95">
        <v>1.0</v>
      </c>
      <c r="D110" s="78"/>
      <c r="E110" s="78"/>
      <c r="F110" s="78"/>
      <c r="G110" s="78"/>
      <c r="H110" s="78"/>
      <c r="I110" s="78"/>
      <c r="J110" s="78"/>
      <c r="K110" s="78"/>
      <c r="L110" s="78"/>
    </row>
    <row r="111">
      <c r="A111" s="78"/>
      <c r="B111" s="78"/>
      <c r="C111" s="78"/>
      <c r="D111" s="78"/>
      <c r="E111" s="78"/>
      <c r="F111" s="78"/>
      <c r="G111" s="78"/>
      <c r="H111" s="78"/>
      <c r="I111" s="78"/>
      <c r="J111" s="78"/>
      <c r="K111" s="78"/>
      <c r="L111" s="78"/>
    </row>
    <row r="112">
      <c r="A112" s="66" t="s">
        <v>1</v>
      </c>
      <c r="B112" s="44">
        <v>46236.0</v>
      </c>
      <c r="C112" s="78"/>
      <c r="D112" s="78"/>
      <c r="E112" s="78"/>
      <c r="F112" s="78"/>
      <c r="G112" s="78"/>
      <c r="H112" s="78"/>
      <c r="I112" s="78"/>
      <c r="J112" s="78"/>
      <c r="K112" s="78"/>
      <c r="L112" s="78"/>
    </row>
    <row r="113">
      <c r="A113" s="96" t="s">
        <v>4</v>
      </c>
      <c r="B113" s="13" t="s">
        <v>71</v>
      </c>
      <c r="C113" s="78"/>
      <c r="D113" s="78"/>
      <c r="E113" s="78"/>
      <c r="F113" s="78"/>
      <c r="G113" s="78"/>
      <c r="H113" s="78"/>
      <c r="I113" s="78"/>
      <c r="J113" s="78"/>
      <c r="K113" s="78"/>
      <c r="L113" s="78"/>
    </row>
    <row r="114">
      <c r="A114" s="96" t="s">
        <v>5</v>
      </c>
      <c r="B114" s="13">
        <v>54.0</v>
      </c>
      <c r="C114" s="78"/>
      <c r="D114" s="78"/>
      <c r="E114" s="78"/>
      <c r="F114" s="78"/>
      <c r="G114" s="78"/>
      <c r="H114" s="78"/>
      <c r="I114" s="78"/>
      <c r="J114" s="78"/>
      <c r="K114" s="78"/>
      <c r="L114" s="78"/>
    </row>
    <row r="115">
      <c r="A115" s="96" t="s">
        <v>6</v>
      </c>
      <c r="B115" s="13" t="s">
        <v>80</v>
      </c>
      <c r="C115" s="78"/>
      <c r="D115" s="78"/>
      <c r="E115" s="78"/>
      <c r="F115" s="78"/>
      <c r="G115" s="78"/>
      <c r="H115" s="78"/>
      <c r="I115" s="78"/>
      <c r="J115" s="78"/>
      <c r="K115" s="78"/>
      <c r="L115" s="78"/>
    </row>
    <row r="116">
      <c r="A116" s="96" t="s">
        <v>7</v>
      </c>
      <c r="B116" s="13" t="s">
        <v>85</v>
      </c>
      <c r="C116" s="78"/>
      <c r="D116" s="78"/>
      <c r="E116" s="78"/>
      <c r="F116" s="78"/>
      <c r="G116" s="78"/>
      <c r="H116" s="78"/>
      <c r="I116" s="78"/>
      <c r="J116" s="78"/>
      <c r="K116" s="78"/>
      <c r="L116" s="78"/>
    </row>
    <row r="117">
      <c r="A117" s="96" t="s">
        <v>9</v>
      </c>
      <c r="B117" s="26">
        <v>0.45</v>
      </c>
      <c r="C117" s="78"/>
      <c r="D117" s="78"/>
      <c r="E117" s="78"/>
      <c r="F117" s="78"/>
      <c r="G117" s="78"/>
      <c r="H117" s="78"/>
      <c r="I117" s="78"/>
      <c r="J117" s="78"/>
      <c r="K117" s="78"/>
      <c r="L117" s="78"/>
    </row>
    <row r="118">
      <c r="A118" s="96" t="s">
        <v>18</v>
      </c>
      <c r="B118" s="13">
        <v>2.2</v>
      </c>
      <c r="C118" s="78"/>
      <c r="D118" s="78"/>
      <c r="E118" s="78"/>
      <c r="F118" s="78"/>
      <c r="G118" s="78"/>
      <c r="H118" s="78"/>
      <c r="I118" s="78"/>
      <c r="J118" s="78"/>
      <c r="K118" s="78"/>
      <c r="L118" s="78"/>
    </row>
    <row r="119">
      <c r="A119" s="96" t="s">
        <v>22</v>
      </c>
      <c r="B119" s="13" t="s">
        <v>85</v>
      </c>
      <c r="C119" s="78"/>
      <c r="D119" s="78"/>
      <c r="E119" s="78"/>
      <c r="F119" s="78"/>
      <c r="G119" s="78"/>
      <c r="H119" s="78"/>
      <c r="I119" s="78"/>
      <c r="J119" s="78"/>
      <c r="K119" s="78"/>
      <c r="L119" s="78"/>
    </row>
    <row r="120">
      <c r="A120" s="96" t="s">
        <v>29</v>
      </c>
      <c r="B120" s="39">
        <v>0.0185</v>
      </c>
      <c r="C120" s="78"/>
      <c r="D120" s="78"/>
      <c r="E120" s="78"/>
      <c r="F120" s="78"/>
      <c r="G120" s="78"/>
      <c r="H120" s="78"/>
      <c r="I120" s="78"/>
      <c r="J120" s="78"/>
      <c r="K120" s="78"/>
      <c r="L120" s="78"/>
    </row>
  </sheetData>
  <mergeCells count="1">
    <mergeCell ref="H80:L97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2026-07-06T15:17:55Z</dcterms:created>
  <dc:creator>Janus</dc:creator>
</cp:coreProperties>
</file>